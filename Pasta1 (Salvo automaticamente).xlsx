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Computador\Documents\"/>
    </mc:Choice>
  </mc:AlternateContent>
  <bookViews>
    <workbookView xWindow="0" yWindow="0" windowWidth="20490" windowHeight="7905" activeTab="2"/>
  </bookViews>
  <sheets>
    <sheet name="dados" sheetId="1" r:id="rId1"/>
    <sheet name="tabelas" sheetId="2" r:id="rId2"/>
    <sheet name="dashboard" sheetId="3" r:id="rId3"/>
  </sheets>
  <definedNames>
    <definedName name="SegmentaçãodeDados_Mês">#N/A</definedName>
  </definedNames>
  <calcPr calcId="152511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" i="2" l="1"/>
  <c r="K17" i="2"/>
  <c r="L17" i="2"/>
  <c r="J17" i="2"/>
  <c r="F18" i="1" l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<sst xmlns="http://schemas.openxmlformats.org/spreadsheetml/2006/main" count="556" uniqueCount="49">
  <si>
    <t>Data</t>
  </si>
  <si>
    <t>Tipo</t>
  </si>
  <si>
    <t>Categoria</t>
  </si>
  <si>
    <t>Descrição</t>
  </si>
  <si>
    <t>Entrada</t>
  </si>
  <si>
    <t>Venda</t>
  </si>
  <si>
    <t>Venda recebido</t>
  </si>
  <si>
    <t>Saída</t>
  </si>
  <si>
    <t>Internet</t>
  </si>
  <si>
    <t>Pagamento de internet</t>
  </si>
  <si>
    <t>Serviço</t>
  </si>
  <si>
    <t>Serviço recebido</t>
  </si>
  <si>
    <t>Manutenção</t>
  </si>
  <si>
    <t>Pagamento de manutenção</t>
  </si>
  <si>
    <t>Investimento</t>
  </si>
  <si>
    <t>Investimento recebido</t>
  </si>
  <si>
    <t>Salário</t>
  </si>
  <si>
    <t>Pagamento de salário</t>
  </si>
  <si>
    <t>Reembolso</t>
  </si>
  <si>
    <t>Reembolso recebido</t>
  </si>
  <si>
    <t>Material Escritório</t>
  </si>
  <si>
    <t>Pagamento de material escritório</t>
  </si>
  <si>
    <t>Energia Elétrica</t>
  </si>
  <si>
    <t>Pagamento de energia elétrica</t>
  </si>
  <si>
    <t>Transporte</t>
  </si>
  <si>
    <t>Pagamento de transporte</t>
  </si>
  <si>
    <t>Aluguel</t>
  </si>
  <si>
    <t>Pagamento de aluguel</t>
  </si>
  <si>
    <t>Valor (R$)</t>
  </si>
  <si>
    <t>Forma de Pagamento</t>
  </si>
  <si>
    <t>Conta</t>
  </si>
  <si>
    <t>Mês</t>
  </si>
  <si>
    <t>Cartão Débito</t>
  </si>
  <si>
    <t>Cartão Empresa</t>
  </si>
  <si>
    <t>Conta Corrente</t>
  </si>
  <si>
    <t>Débito Automático</t>
  </si>
  <si>
    <t>Transferência</t>
  </si>
  <si>
    <t>Dinheiro</t>
  </si>
  <si>
    <t>PIX</t>
  </si>
  <si>
    <t>Boleto</t>
  </si>
  <si>
    <t>Cartão Crédito</t>
  </si>
  <si>
    <t>Caixa</t>
  </si>
  <si>
    <t>Rótulos de Linha</t>
  </si>
  <si>
    <t>Total Geral</t>
  </si>
  <si>
    <t>Soma de Valor (R$)</t>
  </si>
  <si>
    <t>valor liquído</t>
  </si>
  <si>
    <t>Soma de valor liquído</t>
  </si>
  <si>
    <t>Rótulos de Coluna</t>
  </si>
  <si>
    <t>#VALOR!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</si>
</sst>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14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4" fontId="0" fillId="0" borderId="0" xfId="0" applyNumberForma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44" fontId="2" fillId="0" borderId="0" xfId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44" fontId="0" fillId="0" borderId="0" xfId="1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0" xfId="0" applyFont="1" applyFill="1" applyAlignment="1">
      <alignment horizontal="center" vertical="center"/>
    </xf>
    <xf numFmtId="4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 indent="1"/>
    </xf>
  </cellXfs>
  <cellStyles count="2">
    <cellStyle name="Moeda" xfId="1" builtinId="4"/>
    <cellStyle name="Normal" xfId="0" builtinId="0"/>
  </cellStyles>
  <dxfs count="12"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>
          <bgColor theme="4" tint="0.59996337778862885"/>
        </patternFill>
      </fill>
    </dxf>
  </dxfs>
  <tableStyles count="1" defaultTableStyle="TableStyleMedium2" defaultPivotStyle="PivotStyleLight16">
    <tableStyle name="Estilo de Segmentação de Dados 1" pivot="0" table="0" count="5">
      <tableStyleElement type="wholeTable" dxfId="11"/>
    </tableStyle>
  </tableStyles>
  <extLst>
    <ext xmlns:x14="http://schemas.microsoft.com/office/spreadsheetml/2009/9/main" uri="{46F421CA-312F-682f-3DD2-61675219B42D}">
      <x14:dxfs count="4">
        <dxf>
          <fill>
            <patternFill>
              <bgColor theme="7" tint="0.59996337778862885"/>
            </patternFill>
          </fill>
        </dxf>
        <dxf>
          <fill>
            <patternFill>
              <bgColor theme="8" tint="0.39994506668294322"/>
            </patternFill>
          </fill>
        </dxf>
        <dxf>
          <fill>
            <patternFill>
              <bgColor theme="7" tint="0.59996337778862885"/>
            </patternFill>
          </fill>
        </dxf>
        <dxf>
          <fill>
            <patternFill>
              <bgColor theme="8" tint="0.39994506668294322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selectedItemWithData" dxfId="3"/>
            <x14:slicerStyleElement type="selectedItemWithNoData" dxfId="2"/>
            <x14:slicerStyleElement type="hoveredSelectedItemWith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[Pasta1 (Salvo automaticamente).xlsx]tabelas!Tabela dinâmica1</c:name>
    <c:fmtId val="27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</c:pivotFmt>
      <c:pivotFmt>
        <c:idx val="4"/>
        <c:spPr>
          <a:ln w="31750" cap="rnd">
            <a:solidFill>
              <a:schemeClr val="accent1"/>
            </a:solidFill>
            <a:rou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</c:marker>
      </c:pivotFmt>
      <c:pivotFmt>
        <c:idx val="5"/>
        <c:spPr>
          <a:ln w="31750" cap="rnd">
            <a:solidFill>
              <a:srgbClr val="FF0000"/>
            </a:solidFill>
            <a:rou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circle"/>
          <c:size val="6"/>
          <c:spPr>
            <a:solidFill>
              <a:srgbClr val="FF0000"/>
            </a:solidFill>
            <a:ln w="12700">
              <a:solidFill>
                <a:schemeClr val="lt2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</c:marker>
      </c:pivotFmt>
    </c:pivotFmts>
    <c:plotArea>
      <c:layout>
        <c:manualLayout>
          <c:layoutTarget val="inner"/>
          <c:xMode val="edge"/>
          <c:yMode val="edge"/>
          <c:x val="0.16311398944954367"/>
          <c:y val="6.918113719451234E-2"/>
          <c:w val="0.7916082176474929"/>
          <c:h val="0.89814814814814814"/>
        </c:manualLayout>
      </c:layout>
      <c:lineChart>
        <c:grouping val="stacked"/>
        <c:varyColors val="0"/>
        <c:ser>
          <c:idx val="0"/>
          <c:order val="0"/>
          <c:tx>
            <c:strRef>
              <c:f>tabelas!$B$3:$B$4</c:f>
              <c:strCache>
                <c:ptCount val="1"/>
                <c:pt idx="0">
                  <c:v>Entrada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cat>
            <c:strRef>
              <c:f>tabelas!$A$5:$A$15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tabelas!$B$5:$B$15</c:f>
              <c:numCache>
                <c:formatCode>_("R$"* #,##0.00_);_("R$"* \(#,##0.00\);_("R$"* "-"??_);_(@_)</c:formatCode>
                <c:ptCount val="10"/>
                <c:pt idx="0">
                  <c:v>15973.470000000001</c:v>
                </c:pt>
                <c:pt idx="1">
                  <c:v>14573.71</c:v>
                </c:pt>
                <c:pt idx="2">
                  <c:v>19013.939999999999</c:v>
                </c:pt>
                <c:pt idx="3">
                  <c:v>10918.900000000001</c:v>
                </c:pt>
                <c:pt idx="4">
                  <c:v>9626.380000000001</c:v>
                </c:pt>
                <c:pt idx="5">
                  <c:v>21912.739999999998</c:v>
                </c:pt>
                <c:pt idx="6">
                  <c:v>17646.46</c:v>
                </c:pt>
                <c:pt idx="7">
                  <c:v>13335.97</c:v>
                </c:pt>
                <c:pt idx="8">
                  <c:v>17200.010000000002</c:v>
                </c:pt>
                <c:pt idx="9">
                  <c:v>11348.11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tabelas!$C$3:$C$4</c:f>
              <c:strCache>
                <c:ptCount val="1"/>
                <c:pt idx="0">
                  <c:v>Saída</c:v>
                </c:pt>
              </c:strCache>
            </c:strRef>
          </c:tx>
          <c:spPr>
            <a:ln w="31750" cap="rnd">
              <a:solidFill>
                <a:srgbClr val="FF0000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6"/>
            <c:spPr>
              <a:solidFill>
                <a:srgbClr val="FF0000"/>
              </a:solidFill>
              <a:ln w="12700">
                <a:solidFill>
                  <a:schemeClr val="lt2"/>
                </a:solidFill>
                <a:round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cat>
            <c:strRef>
              <c:f>tabelas!$A$5:$A$15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tabelas!$C$5:$C$15</c:f>
              <c:numCache>
                <c:formatCode>_("R$"* #,##0.00_);_("R$"* \(#,##0.00\);_("R$"* "-"??_);_(@_)</c:formatCode>
                <c:ptCount val="10"/>
                <c:pt idx="0">
                  <c:v>-8410.0499999999993</c:v>
                </c:pt>
                <c:pt idx="1">
                  <c:v>-4491.43</c:v>
                </c:pt>
                <c:pt idx="2">
                  <c:v>-2559.29</c:v>
                </c:pt>
                <c:pt idx="3">
                  <c:v>-7251.67</c:v>
                </c:pt>
                <c:pt idx="4">
                  <c:v>-10600.009999999998</c:v>
                </c:pt>
                <c:pt idx="5">
                  <c:v>-2082.91</c:v>
                </c:pt>
                <c:pt idx="6">
                  <c:v>-8370.5</c:v>
                </c:pt>
                <c:pt idx="7">
                  <c:v>-6377.0599999999995</c:v>
                </c:pt>
                <c:pt idx="8">
                  <c:v>-7728.3099999999995</c:v>
                </c:pt>
                <c:pt idx="9">
                  <c:v>-9120.7699999999986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85888"/>
        <c:axId val="21188608"/>
      </c:lineChart>
      <c:catAx>
        <c:axId val="21185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188608"/>
        <c:crosses val="autoZero"/>
        <c:auto val="1"/>
        <c:lblAlgn val="ctr"/>
        <c:lblOffset val="100"/>
        <c:noMultiLvlLbl val="0"/>
      </c:catAx>
      <c:valAx>
        <c:axId val="211886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185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[Pasta1 (Salvo automaticamente).xlsx]tabelas!Tabela dinâmica5</c:name>
    <c:fmtId val="3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5">
              <a:lumMod val="75000"/>
            </a:schemeClr>
          </a:solidFill>
          <a:ln>
            <a:noFill/>
          </a:ln>
          <a:effectLst>
            <a:glow rad="101600">
              <a:schemeClr val="accent1">
                <a:satMod val="175000"/>
                <a:alpha val="40000"/>
              </a:schemeClr>
            </a:glow>
            <a:outerShdw blurRad="50800" dist="38100" algn="l" rotWithShape="0">
              <a:prstClr val="black">
                <a:alpha val="40000"/>
              </a:prstClr>
            </a:outerShdw>
          </a:effectLst>
          <a:scene3d>
            <a:camera prst="orthographicFront"/>
            <a:lightRig rig="threePt" dir="t"/>
          </a:scene3d>
          <a:sp3d>
            <a:bevelT w="25400"/>
            <a:bevelB w="31750"/>
          </a:sp3d>
        </c:spPr>
        <c:marker>
          <c:symbol val="none"/>
        </c:marker>
      </c:pivotFmt>
      <c:pivotFmt>
        <c:idx val="5"/>
        <c:spPr>
          <a:solidFill>
            <a:srgbClr val="C00000"/>
          </a:solidFill>
          <a:ln>
            <a:noFill/>
          </a:ln>
          <a:effectLst>
            <a:glow rad="101600">
              <a:srgbClr val="C00000">
                <a:alpha val="40000"/>
              </a:srgbClr>
            </a:glow>
            <a:outerShdw blurRad="50800" dist="38100" algn="l" rotWithShape="0">
              <a:prstClr val="black">
                <a:alpha val="40000"/>
              </a:prstClr>
            </a:outerShdw>
          </a:effectLst>
          <a:scene3d>
            <a:camera prst="orthographicFront"/>
            <a:lightRig rig="threePt" dir="t"/>
          </a:scene3d>
          <a:sp3d>
            <a:bevelT w="25400"/>
            <a:bevelB w="31750"/>
          </a:sp3d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tabelas!$D$20:$D$21</c:f>
              <c:strCache>
                <c:ptCount val="1"/>
                <c:pt idx="0">
                  <c:v>Entrada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>
              <a:glow rad="101600">
                <a:schemeClr val="accent1">
                  <a:satMod val="175000"/>
                  <a:alpha val="40000"/>
                </a:schemeClr>
              </a:glow>
              <a:outerShdw blurRad="50800" dist="38100" algn="l" rotWithShape="0">
                <a:prstClr val="black">
                  <a:alpha val="40000"/>
                </a:prstClr>
              </a:outerShdw>
            </a:effectLst>
            <a:scene3d>
              <a:camera prst="orthographicFront"/>
              <a:lightRig rig="threePt" dir="t"/>
            </a:scene3d>
            <a:sp3d>
              <a:bevelT w="25400"/>
              <a:bevelB w="31750"/>
            </a:sp3d>
          </c:spPr>
          <c:invertIfNegative val="0"/>
          <c:cat>
            <c:strRef>
              <c:f>tabelas!$C$22:$C$30</c:f>
              <c:strCache>
                <c:ptCount val="8"/>
                <c:pt idx="0">
                  <c:v>Boleto</c:v>
                </c:pt>
                <c:pt idx="1">
                  <c:v>Cartão Crédito</c:v>
                </c:pt>
                <c:pt idx="2">
                  <c:v>Cartão Débito</c:v>
                </c:pt>
                <c:pt idx="3">
                  <c:v>Débito Automático</c:v>
                </c:pt>
                <c:pt idx="4">
                  <c:v>Dinheiro</c:v>
                </c:pt>
                <c:pt idx="5">
                  <c:v>PIX</c:v>
                </c:pt>
                <c:pt idx="6">
                  <c:v>Transferência</c:v>
                </c:pt>
                <c:pt idx="7">
                  <c:v>#VALOR!</c:v>
                </c:pt>
              </c:strCache>
            </c:strRef>
          </c:cat>
          <c:val>
            <c:numRef>
              <c:f>tabelas!$D$22:$D$30</c:f>
              <c:numCache>
                <c:formatCode>General</c:formatCode>
                <c:ptCount val="8"/>
                <c:pt idx="0">
                  <c:v>24068.749999999996</c:v>
                </c:pt>
                <c:pt idx="1">
                  <c:v>16290.529999999999</c:v>
                </c:pt>
                <c:pt idx="2">
                  <c:v>20861.25</c:v>
                </c:pt>
                <c:pt idx="3">
                  <c:v>24506.1</c:v>
                </c:pt>
                <c:pt idx="4">
                  <c:v>25123.05</c:v>
                </c:pt>
                <c:pt idx="5">
                  <c:v>10012.14</c:v>
                </c:pt>
                <c:pt idx="6">
                  <c:v>27993.660000000003</c:v>
                </c:pt>
                <c:pt idx="7">
                  <c:v>2694.21</c:v>
                </c:pt>
              </c:numCache>
            </c:numRef>
          </c:val>
        </c:ser>
        <c:ser>
          <c:idx val="1"/>
          <c:order val="1"/>
          <c:tx>
            <c:strRef>
              <c:f>tabelas!$E$20:$E$21</c:f>
              <c:strCache>
                <c:ptCount val="1"/>
                <c:pt idx="0">
                  <c:v>Saída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>
              <a:glow rad="101600">
                <a:srgbClr val="C00000">
                  <a:alpha val="40000"/>
                </a:srgbClr>
              </a:glow>
              <a:outerShdw blurRad="50800" dist="38100" algn="l" rotWithShape="0">
                <a:prstClr val="black">
                  <a:alpha val="40000"/>
                </a:prstClr>
              </a:outerShdw>
            </a:effectLst>
            <a:scene3d>
              <a:camera prst="orthographicFront"/>
              <a:lightRig rig="threePt" dir="t"/>
            </a:scene3d>
            <a:sp3d>
              <a:bevelT w="25400"/>
              <a:bevelB w="31750"/>
            </a:sp3d>
          </c:spPr>
          <c:invertIfNegative val="0"/>
          <c:cat>
            <c:strRef>
              <c:f>tabelas!$C$22:$C$30</c:f>
              <c:strCache>
                <c:ptCount val="8"/>
                <c:pt idx="0">
                  <c:v>Boleto</c:v>
                </c:pt>
                <c:pt idx="1">
                  <c:v>Cartão Crédito</c:v>
                </c:pt>
                <c:pt idx="2">
                  <c:v>Cartão Débito</c:v>
                </c:pt>
                <c:pt idx="3">
                  <c:v>Débito Automático</c:v>
                </c:pt>
                <c:pt idx="4">
                  <c:v>Dinheiro</c:v>
                </c:pt>
                <c:pt idx="5">
                  <c:v>PIX</c:v>
                </c:pt>
                <c:pt idx="6">
                  <c:v>Transferência</c:v>
                </c:pt>
                <c:pt idx="7">
                  <c:v>#VALOR!</c:v>
                </c:pt>
              </c:strCache>
            </c:strRef>
          </c:cat>
          <c:val>
            <c:numRef>
              <c:f>tabelas!$E$22:$E$30</c:f>
              <c:numCache>
                <c:formatCode>General</c:formatCode>
                <c:ptCount val="8"/>
                <c:pt idx="0">
                  <c:v>6939.1399999999994</c:v>
                </c:pt>
                <c:pt idx="1">
                  <c:v>2857.73</c:v>
                </c:pt>
                <c:pt idx="2">
                  <c:v>17682.39</c:v>
                </c:pt>
                <c:pt idx="3">
                  <c:v>11517.26</c:v>
                </c:pt>
                <c:pt idx="4">
                  <c:v>15306.289999999999</c:v>
                </c:pt>
                <c:pt idx="5">
                  <c:v>8395.06</c:v>
                </c:pt>
                <c:pt idx="6">
                  <c:v>4294.1299999999992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88064"/>
        <c:axId val="21190784"/>
      </c:barChart>
      <c:catAx>
        <c:axId val="21188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190784"/>
        <c:crosses val="autoZero"/>
        <c:auto val="1"/>
        <c:lblAlgn val="ctr"/>
        <c:lblOffset val="100"/>
        <c:noMultiLvlLbl val="0"/>
      </c:catAx>
      <c:valAx>
        <c:axId val="2119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188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[Pasta1 (Salvo automaticamente).xlsx]tabelas!Tabela dinâmica6</c:name>
    <c:fmtId val="4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>
            <a:glow rad="63500">
              <a:schemeClr val="accent1">
                <a:satMod val="175000"/>
                <a:alpha val="40000"/>
              </a:schemeClr>
            </a:glow>
            <a:outerShdw blurRad="50800" dist="38100" dir="16200000" rotWithShape="0">
              <a:prstClr val="black">
                <a:alpha val="40000"/>
              </a:prstClr>
            </a:outerShdw>
            <a:softEdge rad="63500"/>
          </a:effectLst>
          <a:scene3d>
            <a:camera prst="orthographicFront"/>
            <a:lightRig rig="threePt" dir="t"/>
          </a:scene3d>
          <a:sp3d>
            <a:bevelT w="31750"/>
            <a:bevelB w="101600" h="88900"/>
          </a:sp3d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tabelas!$I$20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glow rad="63500">
                <a:schemeClr val="accent1">
                  <a:satMod val="175000"/>
                  <a:alpha val="40000"/>
                </a:schemeClr>
              </a:glow>
              <a:outerShdw blurRad="50800" dist="38100" dir="16200000" rotWithShape="0">
                <a:prstClr val="black">
                  <a:alpha val="40000"/>
                </a:prstClr>
              </a:outerShdw>
              <a:softEdge rad="63500"/>
            </a:effectLst>
            <a:scene3d>
              <a:camera prst="orthographicFront"/>
              <a:lightRig rig="threePt" dir="t"/>
            </a:scene3d>
            <a:sp3d>
              <a:bevelT w="31750"/>
              <a:bevelB w="101600" h="88900"/>
            </a:sp3d>
          </c:spPr>
          <c:invertIfNegative val="0"/>
          <c:cat>
            <c:strRef>
              <c:f>tabelas!$H$21:$H$28</c:f>
              <c:strCache>
                <c:ptCount val="7"/>
                <c:pt idx="0">
                  <c:v>Aluguel</c:v>
                </c:pt>
                <c:pt idx="1">
                  <c:v>Energia Elétrica</c:v>
                </c:pt>
                <c:pt idx="2">
                  <c:v>Internet</c:v>
                </c:pt>
                <c:pt idx="3">
                  <c:v>Manutenção</c:v>
                </c:pt>
                <c:pt idx="4">
                  <c:v>Material Escritório</c:v>
                </c:pt>
                <c:pt idx="5">
                  <c:v>Salário</c:v>
                </c:pt>
                <c:pt idx="6">
                  <c:v>Transporte</c:v>
                </c:pt>
              </c:strCache>
            </c:strRef>
          </c:cat>
          <c:val>
            <c:numRef>
              <c:f>tabelas!$I$21:$I$28</c:f>
              <c:numCache>
                <c:formatCode>General</c:formatCode>
                <c:ptCount val="7"/>
                <c:pt idx="0">
                  <c:v>6971.2800000000007</c:v>
                </c:pt>
                <c:pt idx="1">
                  <c:v>3747.38</c:v>
                </c:pt>
                <c:pt idx="2">
                  <c:v>21305.51</c:v>
                </c:pt>
                <c:pt idx="3">
                  <c:v>9254.91</c:v>
                </c:pt>
                <c:pt idx="4">
                  <c:v>4276.2299999999996</c:v>
                </c:pt>
                <c:pt idx="5">
                  <c:v>14146.590000000002</c:v>
                </c:pt>
                <c:pt idx="6">
                  <c:v>7290.1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184800"/>
        <c:axId val="21190240"/>
      </c:barChart>
      <c:catAx>
        <c:axId val="21184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190240"/>
        <c:crosses val="autoZero"/>
        <c:auto val="1"/>
        <c:lblAlgn val="ctr"/>
        <c:lblOffset val="100"/>
        <c:noMultiLvlLbl val="0"/>
      </c:catAx>
      <c:valAx>
        <c:axId val="21190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184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492125</xdr:colOff>
      <xdr:row>19</xdr:row>
      <xdr:rowOff>14339</xdr:rowOff>
    </xdr:from>
    <xdr:to>
      <xdr:col>1</xdr:col>
      <xdr:colOff>1635125</xdr:colOff>
      <xdr:row>36</xdr:row>
      <xdr:rowOff>95251</xdr:rowOff>
    </xdr:to>
    <xdr:sp macro="" textlink="">
      <xdr:nvSpPr>
        <xdr:cNvPr id="26" name="Retângulo de cantos arredondados 25"/>
        <xdr:cNvSpPr/>
      </xdr:nvSpPr>
      <xdr:spPr>
        <a:xfrm>
          <a:off x="492125" y="4221214"/>
          <a:ext cx="2127250" cy="3319412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2032000</xdr:colOff>
      <xdr:row>21</xdr:row>
      <xdr:rowOff>158750</xdr:rowOff>
    </xdr:from>
    <xdr:to>
      <xdr:col>21</xdr:col>
      <xdr:colOff>555625</xdr:colOff>
      <xdr:row>45</xdr:row>
      <xdr:rowOff>0</xdr:rowOff>
    </xdr:to>
    <xdr:sp macro="" textlink="">
      <xdr:nvSpPr>
        <xdr:cNvPr id="18" name="Retângulo de cantos arredondados 17"/>
        <xdr:cNvSpPr/>
      </xdr:nvSpPr>
      <xdr:spPr>
        <a:xfrm>
          <a:off x="3004344" y="4901406"/>
          <a:ext cx="12414250" cy="4603750"/>
        </a:xfrm>
        <a:prstGeom prst="roundRect">
          <a:avLst>
            <a:gd name="adj" fmla="val 19361"/>
          </a:avLst>
        </a:prstGeom>
        <a:solidFill>
          <a:sysClr val="window" lastClr="FFFFFF"/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445524</xdr:colOff>
      <xdr:row>0</xdr:row>
      <xdr:rowOff>660605</xdr:rowOff>
    </xdr:from>
    <xdr:to>
      <xdr:col>21</xdr:col>
      <xdr:colOff>171450</xdr:colOff>
      <xdr:row>20</xdr:row>
      <xdr:rowOff>0</xdr:rowOff>
    </xdr:to>
    <xdr:sp macro="" textlink="">
      <xdr:nvSpPr>
        <xdr:cNvPr id="3" name="Retângulo de cantos arredondados 2"/>
        <xdr:cNvSpPr/>
      </xdr:nvSpPr>
      <xdr:spPr>
        <a:xfrm>
          <a:off x="9156290" y="660605"/>
          <a:ext cx="5871087" cy="3625645"/>
        </a:xfrm>
        <a:prstGeom prst="roundRect">
          <a:avLst>
            <a:gd name="adj" fmla="val 19361"/>
          </a:avLst>
        </a:prstGeom>
        <a:solidFill>
          <a:sysClr val="window" lastClr="FFFFFF"/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390525</xdr:colOff>
      <xdr:row>1</xdr:row>
      <xdr:rowOff>114300</xdr:rowOff>
    </xdr:from>
    <xdr:to>
      <xdr:col>25</xdr:col>
      <xdr:colOff>95250</xdr:colOff>
      <xdr:row>8</xdr:row>
      <xdr:rowOff>66675</xdr:rowOff>
    </xdr:to>
    <xdr:sp macro="" textlink="tabelas!J17">
      <xdr:nvSpPr>
        <xdr:cNvPr id="16" name="Retângulo de cantos arredondados 15"/>
        <xdr:cNvSpPr/>
      </xdr:nvSpPr>
      <xdr:spPr>
        <a:xfrm>
          <a:off x="12582525" y="304800"/>
          <a:ext cx="2752725" cy="1285875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54E36FE8-0F09-422A-8C98-59C6E677AFFF}" type="TxLink">
            <a:rPr lang="en-US" sz="2800" b="1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 algn="ctr"/>
            <a:t> R$ 14.573,71 </a:t>
          </a:fld>
          <a:endParaRPr lang="pt-BR" sz="2800" b="1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</xdr:col>
      <xdr:colOff>1997177</xdr:colOff>
      <xdr:row>0</xdr:row>
      <xdr:rowOff>722056</xdr:rowOff>
    </xdr:from>
    <xdr:to>
      <xdr:col>11</xdr:col>
      <xdr:colOff>295276</xdr:colOff>
      <xdr:row>20</xdr:row>
      <xdr:rowOff>1</xdr:rowOff>
    </xdr:to>
    <xdr:sp macro="" textlink="">
      <xdr:nvSpPr>
        <xdr:cNvPr id="2" name="Retângulo de cantos arredondados 1"/>
        <xdr:cNvSpPr/>
      </xdr:nvSpPr>
      <xdr:spPr>
        <a:xfrm>
          <a:off x="2980403" y="722056"/>
          <a:ext cx="6025639" cy="3564195"/>
        </a:xfrm>
        <a:prstGeom prst="roundRect">
          <a:avLst>
            <a:gd name="adj" fmla="val 19361"/>
          </a:avLst>
        </a:prstGeom>
        <a:solidFill>
          <a:sysClr val="window" lastClr="FFFFFF"/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49950</xdr:colOff>
      <xdr:row>1</xdr:row>
      <xdr:rowOff>111969</xdr:rowOff>
    </xdr:from>
    <xdr:to>
      <xdr:col>9</xdr:col>
      <xdr:colOff>225050</xdr:colOff>
      <xdr:row>3</xdr:row>
      <xdr:rowOff>1868</xdr:rowOff>
    </xdr:to>
    <xdr:sp macro="" textlink="">
      <xdr:nvSpPr>
        <xdr:cNvPr id="5" name="Retângulo 4"/>
        <xdr:cNvSpPr/>
      </xdr:nvSpPr>
      <xdr:spPr>
        <a:xfrm>
          <a:off x="4462266" y="896381"/>
          <a:ext cx="3256718" cy="28210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 b="1" baseline="0">
              <a:solidFill>
                <a:srgbClr val="002060"/>
              </a:solidFill>
            </a:rPr>
            <a:t>CUSTOS POR MÊS</a:t>
          </a:r>
          <a:endParaRPr lang="pt-BR" sz="1600" b="1">
            <a:solidFill>
              <a:srgbClr val="002060"/>
            </a:solidFill>
          </a:endParaRPr>
        </a:p>
      </xdr:txBody>
    </xdr:sp>
    <xdr:clientData/>
  </xdr:twoCellAnchor>
  <xdr:twoCellAnchor>
    <xdr:from>
      <xdr:col>12</xdr:col>
      <xdr:colOff>61452</xdr:colOff>
      <xdr:row>2</xdr:row>
      <xdr:rowOff>168992</xdr:rowOff>
    </xdr:from>
    <xdr:to>
      <xdr:col>20</xdr:col>
      <xdr:colOff>485775</xdr:colOff>
      <xdr:row>19</xdr:row>
      <xdr:rowOff>1383</xdr:rowOff>
    </xdr:to>
    <xdr:graphicFrame macro="">
      <xdr:nvGraphicFramePr>
        <xdr:cNvPr id="6" name="Gráfico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334911</xdr:colOff>
      <xdr:row>1</xdr:row>
      <xdr:rowOff>49162</xdr:rowOff>
    </xdr:from>
    <xdr:to>
      <xdr:col>18</xdr:col>
      <xdr:colOff>544461</xdr:colOff>
      <xdr:row>2</xdr:row>
      <xdr:rowOff>125361</xdr:rowOff>
    </xdr:to>
    <xdr:sp macro="" textlink="">
      <xdr:nvSpPr>
        <xdr:cNvPr id="8" name="Retângulo 7"/>
        <xdr:cNvSpPr/>
      </xdr:nvSpPr>
      <xdr:spPr>
        <a:xfrm>
          <a:off x="10889226" y="832670"/>
          <a:ext cx="2667614" cy="26055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 b="1">
              <a:solidFill>
                <a:srgbClr val="002060"/>
              </a:solidFill>
            </a:rPr>
            <a:t>ENTRADA</a:t>
          </a:r>
          <a:r>
            <a:rPr lang="pt-BR" sz="1600" b="1" baseline="0">
              <a:solidFill>
                <a:srgbClr val="002060"/>
              </a:solidFill>
            </a:rPr>
            <a:t> E SAÍDA POR MÊS</a:t>
          </a:r>
          <a:endParaRPr lang="pt-BR" sz="1600" b="1">
            <a:solidFill>
              <a:srgbClr val="002060"/>
            </a:solidFill>
          </a:endParaRPr>
        </a:p>
      </xdr:txBody>
    </xdr:sp>
    <xdr:clientData/>
  </xdr:twoCellAnchor>
  <xdr:twoCellAnchor>
    <xdr:from>
      <xdr:col>20</xdr:col>
      <xdr:colOff>323850</xdr:colOff>
      <xdr:row>9</xdr:row>
      <xdr:rowOff>28575</xdr:rowOff>
    </xdr:from>
    <xdr:to>
      <xdr:col>25</xdr:col>
      <xdr:colOff>28575</xdr:colOff>
      <xdr:row>15</xdr:row>
      <xdr:rowOff>171450</xdr:rowOff>
    </xdr:to>
    <xdr:sp macro="" textlink="tabelas!K17">
      <xdr:nvSpPr>
        <xdr:cNvPr id="10" name="Retângulo de cantos arredondados 9"/>
        <xdr:cNvSpPr/>
      </xdr:nvSpPr>
      <xdr:spPr>
        <a:xfrm>
          <a:off x="12515850" y="1743075"/>
          <a:ext cx="2752725" cy="1285875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EB791038-E8FA-49C4-B825-A474633BE2B3}" type="TxLink">
            <a:rPr lang="en-US" sz="2800" b="1" i="0" u="none" strike="noStrike">
              <a:solidFill>
                <a:srgbClr val="C00000"/>
              </a:solidFill>
              <a:latin typeface="Calibri"/>
              <a:ea typeface="+mn-ea"/>
              <a:cs typeface="Calibri"/>
            </a:rPr>
            <a:pPr marL="0" indent="0" algn="ctr"/>
            <a:t>-R$ 4.491,43 </a:t>
          </a:fld>
          <a:endParaRPr lang="pt-BR" sz="2800" b="1" i="0" u="none" strike="noStrike">
            <a:solidFill>
              <a:srgbClr val="C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20</xdr:col>
      <xdr:colOff>342900</xdr:colOff>
      <xdr:row>17</xdr:row>
      <xdr:rowOff>9525</xdr:rowOff>
    </xdr:from>
    <xdr:to>
      <xdr:col>25</xdr:col>
      <xdr:colOff>47625</xdr:colOff>
      <xdr:row>23</xdr:row>
      <xdr:rowOff>152400</xdr:rowOff>
    </xdr:to>
    <xdr:sp macro="" textlink="tabelas!L17">
      <xdr:nvSpPr>
        <xdr:cNvPr id="11" name="Retângulo de cantos arredondados 10"/>
        <xdr:cNvSpPr/>
      </xdr:nvSpPr>
      <xdr:spPr>
        <a:xfrm>
          <a:off x="12534900" y="3248025"/>
          <a:ext cx="2752725" cy="1285875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43E4F5E5-E7C5-4F09-8986-E1092533A1A1}" type="TxLink">
            <a:rPr lang="en-US" sz="2800" b="1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 algn="ctr"/>
            <a:t> R$ 10.082,28 </a:t>
          </a:fld>
          <a:endParaRPr lang="pt-BR" sz="2800" b="1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20</xdr:col>
      <xdr:colOff>428625</xdr:colOff>
      <xdr:row>1</xdr:row>
      <xdr:rowOff>180975</xdr:rowOff>
    </xdr:from>
    <xdr:to>
      <xdr:col>25</xdr:col>
      <xdr:colOff>28575</xdr:colOff>
      <xdr:row>3</xdr:row>
      <xdr:rowOff>66675</xdr:rowOff>
    </xdr:to>
    <xdr:sp macro="" textlink="">
      <xdr:nvSpPr>
        <xdr:cNvPr id="13" name="Retângulo 12"/>
        <xdr:cNvSpPr/>
      </xdr:nvSpPr>
      <xdr:spPr>
        <a:xfrm>
          <a:off x="12620625" y="371475"/>
          <a:ext cx="264795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 b="1">
              <a:solidFill>
                <a:srgbClr val="002060"/>
              </a:solidFill>
            </a:rPr>
            <a:t>ENTRADA</a:t>
          </a:r>
          <a:r>
            <a:rPr lang="pt-BR" sz="1600" b="1" baseline="0">
              <a:solidFill>
                <a:srgbClr val="002060"/>
              </a:solidFill>
            </a:rPr>
            <a:t> MÊS</a:t>
          </a:r>
          <a:endParaRPr lang="pt-BR" sz="1600" b="1">
            <a:solidFill>
              <a:srgbClr val="002060"/>
            </a:solidFill>
          </a:endParaRPr>
        </a:p>
      </xdr:txBody>
    </xdr:sp>
    <xdr:clientData/>
  </xdr:twoCellAnchor>
  <xdr:twoCellAnchor>
    <xdr:from>
      <xdr:col>20</xdr:col>
      <xdr:colOff>381000</xdr:colOff>
      <xdr:row>9</xdr:row>
      <xdr:rowOff>104775</xdr:rowOff>
    </xdr:from>
    <xdr:to>
      <xdr:col>24</xdr:col>
      <xdr:colOff>590550</xdr:colOff>
      <xdr:row>10</xdr:row>
      <xdr:rowOff>180975</xdr:rowOff>
    </xdr:to>
    <xdr:sp macro="" textlink="">
      <xdr:nvSpPr>
        <xdr:cNvPr id="14" name="Retângulo 13"/>
        <xdr:cNvSpPr/>
      </xdr:nvSpPr>
      <xdr:spPr>
        <a:xfrm>
          <a:off x="12573000" y="1819275"/>
          <a:ext cx="264795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1600" b="1">
              <a:solidFill>
                <a:srgbClr val="002060"/>
              </a:solidFill>
              <a:latin typeface="+mn-lt"/>
              <a:ea typeface="+mn-ea"/>
              <a:cs typeface="+mn-cs"/>
            </a:rPr>
            <a:t> SAÍDA POR MÊS</a:t>
          </a:r>
        </a:p>
      </xdr:txBody>
    </xdr:sp>
    <xdr:clientData/>
  </xdr:twoCellAnchor>
  <xdr:twoCellAnchor>
    <xdr:from>
      <xdr:col>20</xdr:col>
      <xdr:colOff>390525</xdr:colOff>
      <xdr:row>17</xdr:row>
      <xdr:rowOff>104775</xdr:rowOff>
    </xdr:from>
    <xdr:to>
      <xdr:col>24</xdr:col>
      <xdr:colOff>600075</xdr:colOff>
      <xdr:row>18</xdr:row>
      <xdr:rowOff>180975</xdr:rowOff>
    </xdr:to>
    <xdr:sp macro="" textlink="">
      <xdr:nvSpPr>
        <xdr:cNvPr id="15" name="Retângulo 14"/>
        <xdr:cNvSpPr/>
      </xdr:nvSpPr>
      <xdr:spPr>
        <a:xfrm>
          <a:off x="12582525" y="3343275"/>
          <a:ext cx="264795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1600" b="1">
              <a:solidFill>
                <a:srgbClr val="002060"/>
              </a:solidFill>
              <a:latin typeface="+mn-lt"/>
              <a:ea typeface="+mn-ea"/>
              <a:cs typeface="+mn-cs"/>
            </a:rPr>
            <a:t>TOTAL POR MÊS</a:t>
          </a:r>
        </a:p>
      </xdr:txBody>
    </xdr:sp>
    <xdr:clientData/>
  </xdr:twoCellAnchor>
  <xdr:twoCellAnchor editAs="oneCell">
    <xdr:from>
      <xdr:col>0</xdr:col>
      <xdr:colOff>591472</xdr:colOff>
      <xdr:row>23</xdr:row>
      <xdr:rowOff>28677</xdr:rowOff>
    </xdr:from>
    <xdr:to>
      <xdr:col>1</xdr:col>
      <xdr:colOff>1571625</xdr:colOff>
      <xdr:row>34</xdr:row>
      <xdr:rowOff>31750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9" name="MÊ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1472" y="5067264"/>
              <a:ext cx="1960262" cy="212894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25</xdr:col>
      <xdr:colOff>238126</xdr:colOff>
      <xdr:row>4</xdr:row>
      <xdr:rowOff>89300</xdr:rowOff>
    </xdr:from>
    <xdr:to>
      <xdr:col>29</xdr:col>
      <xdr:colOff>297658</xdr:colOff>
      <xdr:row>20</xdr:row>
      <xdr:rowOff>168993</xdr:rowOff>
    </xdr:to>
    <xdr:sp macro="" textlink="tabelas!N3">
      <xdr:nvSpPr>
        <xdr:cNvPr id="21" name="Retângulo de cantos arredondados 20"/>
        <xdr:cNvSpPr/>
      </xdr:nvSpPr>
      <xdr:spPr>
        <a:xfrm>
          <a:off x="17183408" y="1425873"/>
          <a:ext cx="2517597" cy="3029370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4DE5FF3-4DAE-4B78-A1F1-F34EE967FA4C}" type="TxLink">
            <a:rPr lang="en-US" sz="28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 R$ 84.557,69 </a:t>
          </a:fld>
          <a:endParaRPr lang="pt-BR" sz="2800" b="1"/>
        </a:p>
      </xdr:txBody>
    </xdr:sp>
    <xdr:clientData/>
  </xdr:twoCellAnchor>
  <xdr:twoCellAnchor>
    <xdr:from>
      <xdr:col>25</xdr:col>
      <xdr:colOff>178595</xdr:colOff>
      <xdr:row>8</xdr:row>
      <xdr:rowOff>44648</xdr:rowOff>
    </xdr:from>
    <xdr:to>
      <xdr:col>29</xdr:col>
      <xdr:colOff>388741</xdr:colOff>
      <xdr:row>10</xdr:row>
      <xdr:rowOff>163710</xdr:rowOff>
    </xdr:to>
    <xdr:sp macro="" textlink="">
      <xdr:nvSpPr>
        <xdr:cNvPr id="24" name="Retângulo 23"/>
        <xdr:cNvSpPr/>
      </xdr:nvSpPr>
      <xdr:spPr>
        <a:xfrm>
          <a:off x="17025939" y="1592461"/>
          <a:ext cx="2650927" cy="50601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800" b="1">
              <a:solidFill>
                <a:srgbClr val="002060"/>
              </a:solidFill>
            </a:rPr>
            <a:t>TOTAL</a:t>
          </a:r>
        </a:p>
      </xdr:txBody>
    </xdr:sp>
    <xdr:clientData/>
  </xdr:twoCellAnchor>
  <xdr:twoCellAnchor>
    <xdr:from>
      <xdr:col>0</xdr:col>
      <xdr:colOff>730250</xdr:colOff>
      <xdr:row>20</xdr:row>
      <xdr:rowOff>111125</xdr:rowOff>
    </xdr:from>
    <xdr:to>
      <xdr:col>1</xdr:col>
      <xdr:colOff>1460500</xdr:colOff>
      <xdr:row>22</xdr:row>
      <xdr:rowOff>95250</xdr:rowOff>
    </xdr:to>
    <xdr:sp macro="" textlink="">
      <xdr:nvSpPr>
        <xdr:cNvPr id="27" name="Retângulo 26"/>
        <xdr:cNvSpPr/>
      </xdr:nvSpPr>
      <xdr:spPr>
        <a:xfrm>
          <a:off x="730250" y="4508500"/>
          <a:ext cx="1714500" cy="36512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000" b="1">
              <a:solidFill>
                <a:srgbClr val="002060"/>
              </a:solidFill>
            </a:rPr>
            <a:t>MÊS</a:t>
          </a:r>
          <a:r>
            <a:rPr lang="pt-BR" sz="2000" baseline="0"/>
            <a:t> </a:t>
          </a:r>
          <a:endParaRPr lang="pt-BR" sz="2000"/>
        </a:p>
      </xdr:txBody>
    </xdr:sp>
    <xdr:clientData/>
  </xdr:twoCellAnchor>
  <xdr:twoCellAnchor>
    <xdr:from>
      <xdr:col>2</xdr:col>
      <xdr:colOff>396875</xdr:colOff>
      <xdr:row>24</xdr:row>
      <xdr:rowOff>111124</xdr:rowOff>
    </xdr:from>
    <xdr:to>
      <xdr:col>20</xdr:col>
      <xdr:colOff>206375</xdr:colOff>
      <xdr:row>44</xdr:row>
      <xdr:rowOff>95249</xdr:rowOff>
    </xdr:to>
    <xdr:graphicFrame macro="">
      <xdr:nvGraphicFramePr>
        <xdr:cNvPr id="36" name="Gráfico 3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380999</xdr:colOff>
      <xdr:row>22</xdr:row>
      <xdr:rowOff>158749</xdr:rowOff>
    </xdr:from>
    <xdr:to>
      <xdr:col>16</xdr:col>
      <xdr:colOff>269875</xdr:colOff>
      <xdr:row>25</xdr:row>
      <xdr:rowOff>47624</xdr:rowOff>
    </xdr:to>
    <xdr:sp macro="" textlink="">
      <xdr:nvSpPr>
        <xdr:cNvPr id="37" name="Retângulo 36"/>
        <xdr:cNvSpPr/>
      </xdr:nvSpPr>
      <xdr:spPr>
        <a:xfrm>
          <a:off x="5984874" y="4937124"/>
          <a:ext cx="5921376" cy="460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000" b="1" baseline="0">
              <a:solidFill>
                <a:srgbClr val="002060"/>
              </a:solidFill>
            </a:rPr>
            <a:t>ENTRADA E SAÍDA X  FORMA DE PAGAMENTO </a:t>
          </a:r>
          <a:endParaRPr lang="pt-BR" sz="2000" b="1">
            <a:solidFill>
              <a:srgbClr val="002060"/>
            </a:solidFill>
          </a:endParaRPr>
        </a:p>
      </xdr:txBody>
    </xdr:sp>
    <xdr:clientData/>
  </xdr:twoCellAnchor>
  <xdr:twoCellAnchor>
    <xdr:from>
      <xdr:col>1</xdr:col>
      <xdr:colOff>2185147</xdr:colOff>
      <xdr:row>4</xdr:row>
      <xdr:rowOff>35694</xdr:rowOff>
    </xdr:from>
    <xdr:to>
      <xdr:col>11</xdr:col>
      <xdr:colOff>140073</xdr:colOff>
      <xdr:row>18</xdr:row>
      <xdr:rowOff>84044</xdr:rowOff>
    </xdr:to>
    <xdr:graphicFrame macro="">
      <xdr:nvGraphicFramePr>
        <xdr:cNvPr id="40" name="Gráfico 3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omputador" refreshedDate="46321.72862141204" createdVersion="5" refreshedVersion="5" minRefreshableVersion="3" recordCount="100">
  <cacheSource type="worksheet">
    <worksheetSource name="Tabela1"/>
  </cacheSource>
  <cacheFields count="9">
    <cacheField name="Data" numFmtId="14">
      <sharedItems containsSemiMixedTypes="0" containsNonDate="0" containsDate="1" containsString="0" minDate="2026-01-05T00:00:00" maxDate="2026-10-30T00:00:00"/>
    </cacheField>
    <cacheField name="Tipo" numFmtId="0">
      <sharedItems count="2">
        <s v="Entrada"/>
        <s v="Saída"/>
      </sharedItems>
    </cacheField>
    <cacheField name="Categoria" numFmtId="0">
      <sharedItems count="11">
        <s v="Venda"/>
        <s v="Internet"/>
        <s v="Serviço"/>
        <s v="Manutenção"/>
        <s v="Investimento"/>
        <s v="Salário"/>
        <s v="Reembolso"/>
        <s v="Material Escritório"/>
        <s v="Energia Elétrica"/>
        <s v="Transporte"/>
        <s v="Aluguel"/>
      </sharedItems>
    </cacheField>
    <cacheField name="Descrição" numFmtId="0">
      <sharedItems/>
    </cacheField>
    <cacheField name="Valor (R$)" numFmtId="44">
      <sharedItems containsSemiMixedTypes="0" containsString="0" containsNumber="1" minValue="286.54000000000002" maxValue="4992.3599999999997" count="100">
        <n v="2473.62"/>
        <n v="1856.27"/>
        <n v="4643.99"/>
        <n v="829.1"/>
        <n v="4622.76"/>
        <n v="2563.31"/>
        <n v="3404"/>
        <n v="2264.4499999999998"/>
        <n v="1726.02"/>
        <n v="729.23"/>
        <n v="2809.5"/>
        <n v="1149.6500000000001"/>
        <n v="977.38"/>
        <n v="2569.94"/>
        <n v="865.55"/>
        <n v="936.48"/>
        <n v="2694.21"/>
        <n v="3507.48"/>
        <n v="2825.72"/>
        <n v="1584.94"/>
        <n v="523.22"/>
        <n v="1766.3"/>
        <n v="2870.65"/>
        <n v="2805.39"/>
        <n v="1101.3900000000001"/>
        <n v="792.99"/>
        <n v="4374.74"/>
        <n v="761.25"/>
        <n v="4992.3599999999997"/>
        <n v="1614.77"/>
        <n v="2467.06"/>
        <n v="2990.24"/>
        <n v="588.99"/>
        <n v="2933.19"/>
        <n v="557.89"/>
        <n v="1981.08"/>
        <n v="533.85"/>
        <n v="654.91"/>
        <n v="3848.59"/>
        <n v="2203.9699999999998"/>
        <n v="1229.1500000000001"/>
        <n v="626.04999999999995"/>
        <n v="4150.8100000000004"/>
        <n v="880.05"/>
        <n v="1989.97"/>
        <n v="4246.42"/>
        <n v="2742.61"/>
        <n v="1799.31"/>
        <n v="358.05"/>
        <n v="2107.4499999999998"/>
        <n v="2910.65"/>
        <n v="2935.51"/>
        <n v="4163.66"/>
        <n v="1796.37"/>
        <n v="3102.04"/>
        <n v="3035.78"/>
        <n v="2893.37"/>
        <n v="764.28"/>
        <n v="286.54000000000002"/>
        <n v="1095.98"/>
        <n v="4295.62"/>
        <n v="1639.06"/>
        <n v="1289.4100000000001"/>
        <n v="2678.41"/>
        <n v="610.84"/>
        <n v="2199.2600000000002"/>
        <n v="1600.05"/>
        <n v="4514.54"/>
        <n v="2670.94"/>
        <n v="3422.85"/>
        <n v="3281.6"/>
        <n v="657.96"/>
        <n v="1220.5999999999999"/>
        <n v="1637.13"/>
        <n v="1836.78"/>
        <n v="2861.37"/>
        <n v="583.74"/>
        <n v="2835"/>
        <n v="3154.59"/>
        <n v="1644.26"/>
        <n v="1472.39"/>
        <n v="4624.62"/>
        <n v="1682.22"/>
        <n v="1101.1500000000001"/>
        <n v="2697.29"/>
        <n v="3074.63"/>
        <n v="2983.01"/>
        <n v="2130.61"/>
        <n v="2914.75"/>
        <n v="2247.65"/>
        <n v="2119.06"/>
        <n v="2781.66"/>
        <n v="403.28"/>
        <n v="349.36"/>
        <n v="1705.72"/>
        <n v="3176.07"/>
        <n v="4909.8100000000004"/>
        <n v="1556.51"/>
        <n v="2438.33"/>
        <n v="1029.08"/>
      </sharedItems>
    </cacheField>
    <cacheField name="Forma de Pagamento" numFmtId="0">
      <sharedItems count="8">
        <s v="Cartão Débito"/>
        <s v="Débito Automático"/>
        <s v="Transferência"/>
        <s v="Dinheiro"/>
        <s v="PIX"/>
        <s v="Boleto"/>
        <e v="#VALUE!"/>
        <s v="Cartão Crédito"/>
      </sharedItems>
    </cacheField>
    <cacheField name="Conta" numFmtId="0">
      <sharedItems/>
    </cacheField>
    <cacheField name="Mês" numFmtId="0">
      <sharedItems containsSemiMixedTypes="0" containsString="0" containsNumber="1" containsInteger="1" minValue="1" maxValue="10" count="10">
        <n v="1"/>
        <n v="2"/>
        <n v="3"/>
        <n v="4"/>
        <n v="5"/>
        <n v="6"/>
        <n v="7"/>
        <n v="8"/>
        <n v="9"/>
        <n v="10"/>
      </sharedItems>
    </cacheField>
    <cacheField name="valor liquído" numFmtId="0">
      <sharedItems containsSemiMixedTypes="0" containsString="0" containsNumber="1" minValue="-2861.37" maxValue="4992.3599999999997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">
  <r>
    <d v="2026-01-05T00:00:00"/>
    <x v="0"/>
    <x v="0"/>
    <s v="Venda recebido"/>
    <x v="0"/>
    <x v="0"/>
    <s v="Cartão Empresa"/>
    <x v="0"/>
    <n v="2473.62"/>
  </r>
  <r>
    <d v="2026-01-08T00:00:00"/>
    <x v="1"/>
    <x v="1"/>
    <s v="Pagamento de internet"/>
    <x v="1"/>
    <x v="0"/>
    <s v="Conta Corrente"/>
    <x v="0"/>
    <n v="-1856.27"/>
  </r>
  <r>
    <d v="2026-01-11T00:00:00"/>
    <x v="0"/>
    <x v="0"/>
    <s v="Venda recebido"/>
    <x v="2"/>
    <x v="1"/>
    <s v="Conta Corrente"/>
    <x v="0"/>
    <n v="4643.99"/>
  </r>
  <r>
    <d v="2026-01-14T00:00:00"/>
    <x v="0"/>
    <x v="2"/>
    <s v="Serviço recebido"/>
    <x v="3"/>
    <x v="2"/>
    <s v="Cartão Empresa"/>
    <x v="0"/>
    <n v="829.1"/>
  </r>
  <r>
    <d v="2026-01-17T00:00:00"/>
    <x v="0"/>
    <x v="2"/>
    <s v="Serviço recebido"/>
    <x v="4"/>
    <x v="2"/>
    <s v="Cartão Empresa"/>
    <x v="0"/>
    <n v="4622.76"/>
  </r>
  <r>
    <d v="2026-01-20T00:00:00"/>
    <x v="1"/>
    <x v="3"/>
    <s v="Pagamento de manutenção"/>
    <x v="5"/>
    <x v="0"/>
    <s v="Cartão Empresa"/>
    <x v="0"/>
    <n v="-2563.31"/>
  </r>
  <r>
    <d v="2026-01-23T00:00:00"/>
    <x v="0"/>
    <x v="4"/>
    <s v="Investimento recebido"/>
    <x v="6"/>
    <x v="3"/>
    <s v="Conta Corrente"/>
    <x v="0"/>
    <n v="3404"/>
  </r>
  <r>
    <d v="2026-01-26T00:00:00"/>
    <x v="1"/>
    <x v="3"/>
    <s v="Pagamento de manutenção"/>
    <x v="7"/>
    <x v="3"/>
    <s v="Cartão Empresa"/>
    <x v="0"/>
    <n v="-2264.4499999999998"/>
  </r>
  <r>
    <d v="2026-01-29T00:00:00"/>
    <x v="1"/>
    <x v="5"/>
    <s v="Pagamento de salário"/>
    <x v="8"/>
    <x v="1"/>
    <s v="Cartão Empresa"/>
    <x v="0"/>
    <n v="-1726.02"/>
  </r>
  <r>
    <d v="2026-02-01T00:00:00"/>
    <x v="1"/>
    <x v="5"/>
    <s v="Pagamento de salário"/>
    <x v="9"/>
    <x v="4"/>
    <s v="Cartão Empresa"/>
    <x v="1"/>
    <n v="-729.23"/>
  </r>
  <r>
    <d v="2026-02-04T00:00:00"/>
    <x v="0"/>
    <x v="4"/>
    <s v="Investimento recebido"/>
    <x v="10"/>
    <x v="2"/>
    <s v="Conta Corrente"/>
    <x v="1"/>
    <n v="2809.5"/>
  </r>
  <r>
    <d v="2026-02-07T00:00:00"/>
    <x v="0"/>
    <x v="0"/>
    <s v="Venda recebido"/>
    <x v="11"/>
    <x v="2"/>
    <s v="Conta Corrente"/>
    <x v="1"/>
    <n v="1149.6500000000001"/>
  </r>
  <r>
    <d v="2026-02-10T00:00:00"/>
    <x v="0"/>
    <x v="2"/>
    <s v="Serviço recebido"/>
    <x v="12"/>
    <x v="2"/>
    <s v="Conta Corrente"/>
    <x v="1"/>
    <n v="977.38"/>
  </r>
  <r>
    <d v="2026-02-13T00:00:00"/>
    <x v="0"/>
    <x v="0"/>
    <s v="Venda recebido"/>
    <x v="13"/>
    <x v="2"/>
    <s v="Cartão Empresa"/>
    <x v="1"/>
    <n v="2569.94"/>
  </r>
  <r>
    <d v="2026-02-16T00:00:00"/>
    <x v="0"/>
    <x v="6"/>
    <s v="Reembolso recebido"/>
    <x v="14"/>
    <x v="2"/>
    <s v="Cartão Empresa"/>
    <x v="1"/>
    <n v="865.55"/>
  </r>
  <r>
    <d v="2026-02-19T00:00:00"/>
    <x v="1"/>
    <x v="5"/>
    <s v="Pagamento de salário"/>
    <x v="15"/>
    <x v="5"/>
    <s v="Cartão Empresa"/>
    <x v="1"/>
    <n v="-936.48"/>
  </r>
  <r>
    <d v="2026-02-22T00:00:00"/>
    <x v="0"/>
    <x v="4"/>
    <s v="Investimento recebido"/>
    <x v="16"/>
    <x v="6"/>
    <s v="Conta Corrente"/>
    <x v="1"/>
    <n v="2694.21"/>
  </r>
  <r>
    <d v="2026-02-25T00:00:00"/>
    <x v="0"/>
    <x v="0"/>
    <s v="Venda recebido"/>
    <x v="17"/>
    <x v="3"/>
    <s v="Cartão Empresa"/>
    <x v="1"/>
    <n v="3507.48"/>
  </r>
  <r>
    <d v="2026-02-28T00:00:00"/>
    <x v="1"/>
    <x v="7"/>
    <s v="Pagamento de material escritório"/>
    <x v="18"/>
    <x v="0"/>
    <s v="Caixa"/>
    <x v="1"/>
    <n v="-2825.72"/>
  </r>
  <r>
    <d v="2026-03-03T00:00:00"/>
    <x v="0"/>
    <x v="6"/>
    <s v="Reembolso recebido"/>
    <x v="19"/>
    <x v="0"/>
    <s v="Conta Corrente"/>
    <x v="2"/>
    <n v="1584.94"/>
  </r>
  <r>
    <d v="2026-03-06T00:00:00"/>
    <x v="0"/>
    <x v="6"/>
    <s v="Reembolso recebido"/>
    <x v="20"/>
    <x v="5"/>
    <s v="Conta Corrente"/>
    <x v="2"/>
    <n v="523.22"/>
  </r>
  <r>
    <d v="2026-03-09T00:00:00"/>
    <x v="1"/>
    <x v="8"/>
    <s v="Pagamento de energia elétrica"/>
    <x v="21"/>
    <x v="1"/>
    <s v="Caixa"/>
    <x v="2"/>
    <n v="-1766.3"/>
  </r>
  <r>
    <d v="2026-03-12T00:00:00"/>
    <x v="0"/>
    <x v="6"/>
    <s v="Reembolso recebido"/>
    <x v="22"/>
    <x v="7"/>
    <s v="Conta Corrente"/>
    <x v="2"/>
    <n v="2870.65"/>
  </r>
  <r>
    <d v="2026-03-15T00:00:00"/>
    <x v="0"/>
    <x v="0"/>
    <s v="Venda recebido"/>
    <x v="23"/>
    <x v="0"/>
    <s v="Cartão Empresa"/>
    <x v="2"/>
    <n v="2805.39"/>
  </r>
  <r>
    <d v="2026-03-18T00:00:00"/>
    <x v="0"/>
    <x v="4"/>
    <s v="Investimento recebido"/>
    <x v="24"/>
    <x v="0"/>
    <s v="Conta Corrente"/>
    <x v="2"/>
    <n v="1101.3900000000001"/>
  </r>
  <r>
    <d v="2026-03-21T00:00:00"/>
    <x v="1"/>
    <x v="9"/>
    <s v="Pagamento de transporte"/>
    <x v="25"/>
    <x v="5"/>
    <s v="Caixa"/>
    <x v="2"/>
    <n v="-792.99"/>
  </r>
  <r>
    <d v="2026-03-24T00:00:00"/>
    <x v="0"/>
    <x v="6"/>
    <s v="Reembolso recebido"/>
    <x v="26"/>
    <x v="0"/>
    <s v="Cartão Empresa"/>
    <x v="2"/>
    <n v="4374.74"/>
  </r>
  <r>
    <d v="2026-03-27T00:00:00"/>
    <x v="0"/>
    <x v="0"/>
    <s v="Venda recebido"/>
    <x v="27"/>
    <x v="4"/>
    <s v="Conta Corrente"/>
    <x v="2"/>
    <n v="761.25"/>
  </r>
  <r>
    <d v="2026-03-30T00:00:00"/>
    <x v="0"/>
    <x v="0"/>
    <s v="Venda recebido"/>
    <x v="28"/>
    <x v="5"/>
    <s v="Conta Corrente"/>
    <x v="2"/>
    <n v="4992.3599999999997"/>
  </r>
  <r>
    <d v="2026-04-02T00:00:00"/>
    <x v="1"/>
    <x v="3"/>
    <s v="Pagamento de manutenção"/>
    <x v="29"/>
    <x v="2"/>
    <s v="Caixa"/>
    <x v="3"/>
    <n v="-1614.77"/>
  </r>
  <r>
    <d v="2026-04-05T00:00:00"/>
    <x v="1"/>
    <x v="5"/>
    <s v="Pagamento de salário"/>
    <x v="30"/>
    <x v="5"/>
    <s v="Conta Corrente"/>
    <x v="3"/>
    <n v="-2467.06"/>
  </r>
  <r>
    <d v="2026-04-08T00:00:00"/>
    <x v="0"/>
    <x v="4"/>
    <s v="Investimento recebido"/>
    <x v="31"/>
    <x v="2"/>
    <s v="Conta Corrente"/>
    <x v="3"/>
    <n v="2990.24"/>
  </r>
  <r>
    <d v="2026-04-11T00:00:00"/>
    <x v="0"/>
    <x v="0"/>
    <s v="Venda recebido"/>
    <x v="32"/>
    <x v="4"/>
    <s v="Caixa"/>
    <x v="3"/>
    <n v="588.99"/>
  </r>
  <r>
    <d v="2026-04-14T00:00:00"/>
    <x v="0"/>
    <x v="4"/>
    <s v="Investimento recebido"/>
    <x v="33"/>
    <x v="1"/>
    <s v="Conta Corrente"/>
    <x v="3"/>
    <n v="2933.19"/>
  </r>
  <r>
    <d v="2026-04-17T00:00:00"/>
    <x v="0"/>
    <x v="4"/>
    <s v="Investimento recebido"/>
    <x v="34"/>
    <x v="4"/>
    <s v="Cartão Empresa"/>
    <x v="3"/>
    <n v="557.89"/>
  </r>
  <r>
    <d v="2026-04-20T00:00:00"/>
    <x v="1"/>
    <x v="8"/>
    <s v="Pagamento de energia elétrica"/>
    <x v="35"/>
    <x v="4"/>
    <s v="Cartão Empresa"/>
    <x v="3"/>
    <n v="-1981.08"/>
  </r>
  <r>
    <d v="2026-04-23T00:00:00"/>
    <x v="1"/>
    <x v="9"/>
    <s v="Pagamento de transporte"/>
    <x v="36"/>
    <x v="4"/>
    <s v="Cartão Empresa"/>
    <x v="3"/>
    <n v="-533.85"/>
  </r>
  <r>
    <d v="2026-04-26T00:00:00"/>
    <x v="1"/>
    <x v="9"/>
    <s v="Pagamento de transporte"/>
    <x v="37"/>
    <x v="4"/>
    <s v="Conta Corrente"/>
    <x v="3"/>
    <n v="-654.91"/>
  </r>
  <r>
    <d v="2026-04-29T00:00:00"/>
    <x v="0"/>
    <x v="0"/>
    <s v="Venda recebido"/>
    <x v="38"/>
    <x v="5"/>
    <s v="Conta Corrente"/>
    <x v="3"/>
    <n v="3848.59"/>
  </r>
  <r>
    <d v="2026-05-02T00:00:00"/>
    <x v="1"/>
    <x v="1"/>
    <s v="Pagamento de internet"/>
    <x v="39"/>
    <x v="0"/>
    <s v="Conta Corrente"/>
    <x v="4"/>
    <n v="-2203.9699999999998"/>
  </r>
  <r>
    <d v="2026-05-05T00:00:00"/>
    <x v="0"/>
    <x v="6"/>
    <s v="Reembolso recebido"/>
    <x v="40"/>
    <x v="2"/>
    <s v="Caixa"/>
    <x v="4"/>
    <n v="1229.1500000000001"/>
  </r>
  <r>
    <d v="2026-05-08T00:00:00"/>
    <x v="1"/>
    <x v="1"/>
    <s v="Pagamento de internet"/>
    <x v="41"/>
    <x v="3"/>
    <s v="Caixa"/>
    <x v="4"/>
    <n v="-626.04999999999995"/>
  </r>
  <r>
    <d v="2026-05-11T00:00:00"/>
    <x v="0"/>
    <x v="0"/>
    <s v="Venda recebido"/>
    <x v="42"/>
    <x v="5"/>
    <s v="Cartão Empresa"/>
    <x v="4"/>
    <n v="4150.8100000000004"/>
  </r>
  <r>
    <d v="2026-05-14T00:00:00"/>
    <x v="1"/>
    <x v="9"/>
    <s v="Pagamento de transporte"/>
    <x v="43"/>
    <x v="2"/>
    <s v="Cartão Empresa"/>
    <x v="4"/>
    <n v="-880.05"/>
  </r>
  <r>
    <d v="2026-05-17T00:00:00"/>
    <x v="1"/>
    <x v="9"/>
    <s v="Pagamento de transporte"/>
    <x v="44"/>
    <x v="3"/>
    <s v="Cartão Empresa"/>
    <x v="4"/>
    <n v="-1989.97"/>
  </r>
  <r>
    <d v="2026-05-20T00:00:00"/>
    <x v="0"/>
    <x v="2"/>
    <s v="Serviço recebido"/>
    <x v="45"/>
    <x v="1"/>
    <s v="Cartão Empresa"/>
    <x v="4"/>
    <n v="4246.42"/>
  </r>
  <r>
    <d v="2026-05-23T00:00:00"/>
    <x v="1"/>
    <x v="1"/>
    <s v="Pagamento de internet"/>
    <x v="46"/>
    <x v="5"/>
    <s v="Caixa"/>
    <x v="4"/>
    <n v="-2742.61"/>
  </r>
  <r>
    <d v="2026-05-26T00:00:00"/>
    <x v="1"/>
    <x v="1"/>
    <s v="Pagamento de internet"/>
    <x v="47"/>
    <x v="2"/>
    <s v="Caixa"/>
    <x v="4"/>
    <n v="-1799.31"/>
  </r>
  <r>
    <d v="2026-05-29T00:00:00"/>
    <x v="1"/>
    <x v="3"/>
    <s v="Pagamento de manutenção"/>
    <x v="48"/>
    <x v="0"/>
    <s v="Caixa"/>
    <x v="4"/>
    <n v="-358.05"/>
  </r>
  <r>
    <d v="2026-06-01T00:00:00"/>
    <x v="0"/>
    <x v="0"/>
    <s v="Venda recebido"/>
    <x v="49"/>
    <x v="3"/>
    <s v="Cartão Empresa"/>
    <x v="5"/>
    <n v="2107.4499999999998"/>
  </r>
  <r>
    <d v="2026-06-04T00:00:00"/>
    <x v="0"/>
    <x v="6"/>
    <s v="Reembolso recebido"/>
    <x v="50"/>
    <x v="0"/>
    <s v="Caixa"/>
    <x v="5"/>
    <n v="2910.65"/>
  </r>
  <r>
    <d v="2026-06-07T00:00:00"/>
    <x v="0"/>
    <x v="6"/>
    <s v="Reembolso recebido"/>
    <x v="51"/>
    <x v="7"/>
    <s v="Cartão Empresa"/>
    <x v="5"/>
    <n v="2935.51"/>
  </r>
  <r>
    <d v="2026-06-10T00:00:00"/>
    <x v="0"/>
    <x v="2"/>
    <s v="Serviço recebido"/>
    <x v="52"/>
    <x v="4"/>
    <s v="Cartão Empresa"/>
    <x v="5"/>
    <n v="4163.66"/>
  </r>
  <r>
    <d v="2026-06-13T00:00:00"/>
    <x v="1"/>
    <x v="3"/>
    <s v="Pagamento de manutenção"/>
    <x v="53"/>
    <x v="0"/>
    <s v="Conta Corrente"/>
    <x v="5"/>
    <n v="-1796.37"/>
  </r>
  <r>
    <d v="2026-06-16T00:00:00"/>
    <x v="0"/>
    <x v="0"/>
    <s v="Venda recebido"/>
    <x v="54"/>
    <x v="2"/>
    <s v="Conta Corrente"/>
    <x v="5"/>
    <n v="3102.04"/>
  </r>
  <r>
    <d v="2026-06-19T00:00:00"/>
    <x v="0"/>
    <x v="2"/>
    <s v="Serviço recebido"/>
    <x v="55"/>
    <x v="5"/>
    <s v="Conta Corrente"/>
    <x v="5"/>
    <n v="3035.78"/>
  </r>
  <r>
    <d v="2026-06-22T00:00:00"/>
    <x v="0"/>
    <x v="2"/>
    <s v="Serviço recebido"/>
    <x v="56"/>
    <x v="5"/>
    <s v="Caixa"/>
    <x v="5"/>
    <n v="2893.37"/>
  </r>
  <r>
    <d v="2026-06-25T00:00:00"/>
    <x v="0"/>
    <x v="4"/>
    <s v="Investimento recebido"/>
    <x v="57"/>
    <x v="4"/>
    <s v="Caixa"/>
    <x v="5"/>
    <n v="764.28"/>
  </r>
  <r>
    <d v="2026-06-28T00:00:00"/>
    <x v="1"/>
    <x v="5"/>
    <s v="Pagamento de salário"/>
    <x v="58"/>
    <x v="1"/>
    <s v="Cartão Empresa"/>
    <x v="5"/>
    <n v="-286.54000000000002"/>
  </r>
  <r>
    <d v="2026-07-01T00:00:00"/>
    <x v="0"/>
    <x v="0"/>
    <s v="Venda recebido"/>
    <x v="59"/>
    <x v="0"/>
    <s v="Caixa"/>
    <x v="6"/>
    <n v="1095.98"/>
  </r>
  <r>
    <d v="2026-07-04T00:00:00"/>
    <x v="0"/>
    <x v="0"/>
    <s v="Venda recebido"/>
    <x v="60"/>
    <x v="3"/>
    <s v="Conta Corrente"/>
    <x v="6"/>
    <n v="4295.62"/>
  </r>
  <r>
    <d v="2026-07-07T00:00:00"/>
    <x v="0"/>
    <x v="2"/>
    <s v="Serviço recebido"/>
    <x v="61"/>
    <x v="3"/>
    <s v="Caixa"/>
    <x v="6"/>
    <n v="1639.06"/>
  </r>
  <r>
    <d v="2026-07-10T00:00:00"/>
    <x v="1"/>
    <x v="5"/>
    <s v="Pagamento de salário"/>
    <x v="62"/>
    <x v="4"/>
    <s v="Cartão Empresa"/>
    <x v="6"/>
    <n v="-1289.4100000000001"/>
  </r>
  <r>
    <d v="2026-07-13T00:00:00"/>
    <x v="0"/>
    <x v="4"/>
    <s v="Investimento recebido"/>
    <x v="63"/>
    <x v="1"/>
    <s v="Cartão Empresa"/>
    <x v="6"/>
    <n v="2678.41"/>
  </r>
  <r>
    <d v="2026-07-16T00:00:00"/>
    <x v="1"/>
    <x v="5"/>
    <s v="Pagamento de salário"/>
    <x v="64"/>
    <x v="0"/>
    <s v="Conta Corrente"/>
    <x v="6"/>
    <n v="-610.84"/>
  </r>
  <r>
    <d v="2026-07-19T00:00:00"/>
    <x v="1"/>
    <x v="10"/>
    <s v="Pagamento de aluguel"/>
    <x v="65"/>
    <x v="4"/>
    <s v="Cartão Empresa"/>
    <x v="6"/>
    <n v="-2199.2600000000002"/>
  </r>
  <r>
    <d v="2026-07-22T00:00:00"/>
    <x v="1"/>
    <x v="1"/>
    <s v="Pagamento de internet"/>
    <x v="66"/>
    <x v="1"/>
    <s v="Cartão Empresa"/>
    <x v="6"/>
    <n v="-1600.05"/>
  </r>
  <r>
    <d v="2026-07-25T00:00:00"/>
    <x v="0"/>
    <x v="0"/>
    <s v="Venda recebido"/>
    <x v="67"/>
    <x v="0"/>
    <s v="Conta Corrente"/>
    <x v="6"/>
    <n v="4514.54"/>
  </r>
  <r>
    <d v="2026-07-28T00:00:00"/>
    <x v="1"/>
    <x v="1"/>
    <s v="Pagamento de internet"/>
    <x v="68"/>
    <x v="1"/>
    <s v="Caixa"/>
    <x v="6"/>
    <n v="-2670.94"/>
  </r>
  <r>
    <d v="2026-07-31T00:00:00"/>
    <x v="0"/>
    <x v="2"/>
    <s v="Serviço recebido"/>
    <x v="69"/>
    <x v="3"/>
    <s v="Conta Corrente"/>
    <x v="6"/>
    <n v="3422.85"/>
  </r>
  <r>
    <d v="2026-08-03T00:00:00"/>
    <x v="0"/>
    <x v="2"/>
    <s v="Serviço recebido"/>
    <x v="70"/>
    <x v="2"/>
    <s v="Cartão Empresa"/>
    <x v="7"/>
    <n v="3281.6"/>
  </r>
  <r>
    <d v="2026-08-06T00:00:00"/>
    <x v="1"/>
    <x v="3"/>
    <s v="Pagamento de manutenção"/>
    <x v="71"/>
    <x v="4"/>
    <s v="Cartão Empresa"/>
    <x v="7"/>
    <n v="-657.96"/>
  </r>
  <r>
    <d v="2026-08-09T00:00:00"/>
    <x v="1"/>
    <x v="10"/>
    <s v="Pagamento de aluguel"/>
    <x v="72"/>
    <x v="7"/>
    <s v="Conta Corrente"/>
    <x v="7"/>
    <n v="-1220.5999999999999"/>
  </r>
  <r>
    <d v="2026-08-12T00:00:00"/>
    <x v="1"/>
    <x v="5"/>
    <s v="Pagamento de salário"/>
    <x v="73"/>
    <x v="7"/>
    <s v="Caixa"/>
    <x v="7"/>
    <n v="-1637.13"/>
  </r>
  <r>
    <d v="2026-08-15T00:00:00"/>
    <x v="0"/>
    <x v="2"/>
    <s v="Serviço recebido"/>
    <x v="74"/>
    <x v="3"/>
    <s v="Caixa"/>
    <x v="7"/>
    <n v="1836.78"/>
  </r>
  <r>
    <d v="2026-08-18T00:00:00"/>
    <x v="1"/>
    <x v="1"/>
    <s v="Pagamento de internet"/>
    <x v="75"/>
    <x v="3"/>
    <s v="Caixa"/>
    <x v="7"/>
    <n v="-2861.37"/>
  </r>
  <r>
    <d v="2026-08-21T00:00:00"/>
    <x v="0"/>
    <x v="6"/>
    <s v="Reembolso recebido"/>
    <x v="76"/>
    <x v="2"/>
    <s v="Cartão Empresa"/>
    <x v="7"/>
    <n v="583.74"/>
  </r>
  <r>
    <d v="2026-08-24T00:00:00"/>
    <x v="0"/>
    <x v="0"/>
    <s v="Venda recebido"/>
    <x v="77"/>
    <x v="7"/>
    <s v="Caixa"/>
    <x v="7"/>
    <n v="2835"/>
  </r>
  <r>
    <d v="2026-08-27T00:00:00"/>
    <x v="0"/>
    <x v="6"/>
    <s v="Reembolso recebido"/>
    <x v="78"/>
    <x v="1"/>
    <s v="Conta Corrente"/>
    <x v="7"/>
    <n v="3154.59"/>
  </r>
  <r>
    <d v="2026-08-30T00:00:00"/>
    <x v="0"/>
    <x v="0"/>
    <s v="Venda recebido"/>
    <x v="79"/>
    <x v="1"/>
    <s v="Conta Corrente"/>
    <x v="7"/>
    <n v="1644.26"/>
  </r>
  <r>
    <d v="2026-09-02T00:00:00"/>
    <x v="0"/>
    <x v="0"/>
    <s v="Venda recebido"/>
    <x v="80"/>
    <x v="7"/>
    <s v="Conta Corrente"/>
    <x v="8"/>
    <n v="1472.39"/>
  </r>
  <r>
    <d v="2026-09-05T00:00:00"/>
    <x v="0"/>
    <x v="6"/>
    <s v="Reembolso recebido"/>
    <x v="81"/>
    <x v="5"/>
    <s v="Cartão Empresa"/>
    <x v="8"/>
    <n v="4624.62"/>
  </r>
  <r>
    <d v="2026-09-08T00:00:00"/>
    <x v="1"/>
    <x v="5"/>
    <s v="Pagamento de salário"/>
    <x v="82"/>
    <x v="3"/>
    <s v="Conta Corrente"/>
    <x v="8"/>
    <n v="-1682.22"/>
  </r>
  <r>
    <d v="2026-09-11T00:00:00"/>
    <x v="1"/>
    <x v="7"/>
    <s v="Pagamento de material escritório"/>
    <x v="83"/>
    <x v="0"/>
    <s v="Cartão Empresa"/>
    <x v="8"/>
    <n v="-1101.1500000000001"/>
  </r>
  <r>
    <d v="2026-09-14T00:00:00"/>
    <x v="1"/>
    <x v="1"/>
    <s v="Pagamento de internet"/>
    <x v="84"/>
    <x v="3"/>
    <s v="Caixa"/>
    <x v="8"/>
    <n v="-2697.29"/>
  </r>
  <r>
    <d v="2026-09-17T00:00:00"/>
    <x v="0"/>
    <x v="2"/>
    <s v="Serviço recebido"/>
    <x v="85"/>
    <x v="1"/>
    <s v="Conta Corrente"/>
    <x v="8"/>
    <n v="3074.63"/>
  </r>
  <r>
    <d v="2026-09-20T00:00:00"/>
    <x v="0"/>
    <x v="6"/>
    <s v="Reembolso recebido"/>
    <x v="86"/>
    <x v="2"/>
    <s v="Conta Corrente"/>
    <x v="8"/>
    <n v="2983.01"/>
  </r>
  <r>
    <d v="2026-09-23T00:00:00"/>
    <x v="0"/>
    <x v="6"/>
    <s v="Reembolso recebido"/>
    <x v="87"/>
    <x v="1"/>
    <s v="Cartão Empresa"/>
    <x v="8"/>
    <n v="2130.61"/>
  </r>
  <r>
    <d v="2026-09-26T00:00:00"/>
    <x v="0"/>
    <x v="2"/>
    <s v="Serviço recebido"/>
    <x v="88"/>
    <x v="7"/>
    <s v="Conta Corrente"/>
    <x v="8"/>
    <n v="2914.75"/>
  </r>
  <r>
    <d v="2026-09-29T00:00:00"/>
    <x v="1"/>
    <x v="1"/>
    <s v="Pagamento de internet"/>
    <x v="89"/>
    <x v="0"/>
    <s v="Cartão Empresa"/>
    <x v="8"/>
    <n v="-2247.65"/>
  </r>
  <r>
    <d v="2026-10-02T00:00:00"/>
    <x v="1"/>
    <x v="10"/>
    <s v="Pagamento de aluguel"/>
    <x v="90"/>
    <x v="0"/>
    <s v="Conta Corrente"/>
    <x v="9"/>
    <n v="-2119.06"/>
  </r>
  <r>
    <d v="2026-10-05T00:00:00"/>
    <x v="1"/>
    <x v="5"/>
    <s v="Pagamento de salário"/>
    <x v="91"/>
    <x v="3"/>
    <s v="Conta Corrente"/>
    <x v="9"/>
    <n v="-2781.66"/>
  </r>
  <r>
    <d v="2026-10-08T00:00:00"/>
    <x v="1"/>
    <x v="10"/>
    <s v="Pagamento de aluguel"/>
    <x v="92"/>
    <x v="3"/>
    <s v="Conta Corrente"/>
    <x v="9"/>
    <n v="-403.28"/>
  </r>
  <r>
    <d v="2026-10-11T00:00:00"/>
    <x v="1"/>
    <x v="7"/>
    <s v="Pagamento de material escritório"/>
    <x v="93"/>
    <x v="4"/>
    <s v="Conta Corrente"/>
    <x v="9"/>
    <n v="-349.36"/>
  </r>
  <r>
    <d v="2026-10-14T00:00:00"/>
    <x v="0"/>
    <x v="6"/>
    <s v="Reembolso recebido"/>
    <x v="94"/>
    <x v="7"/>
    <s v="Conta Corrente"/>
    <x v="9"/>
    <n v="1705.72"/>
  </r>
  <r>
    <d v="2026-10-17T00:00:00"/>
    <x v="0"/>
    <x v="2"/>
    <s v="Serviço recebido"/>
    <x v="95"/>
    <x v="4"/>
    <s v="Caixa"/>
    <x v="9"/>
    <n v="3176.07"/>
  </r>
  <r>
    <d v="2026-10-20T00:00:00"/>
    <x v="0"/>
    <x v="6"/>
    <s v="Reembolso recebido"/>
    <x v="96"/>
    <x v="3"/>
    <s v="Caixa"/>
    <x v="9"/>
    <n v="4909.8100000000004"/>
  </r>
  <r>
    <d v="2026-10-23T00:00:00"/>
    <x v="0"/>
    <x v="0"/>
    <s v="Venda recebido"/>
    <x v="97"/>
    <x v="7"/>
    <s v="Conta Corrente"/>
    <x v="9"/>
    <n v="1556.51"/>
  </r>
  <r>
    <d v="2026-10-26T00:00:00"/>
    <x v="1"/>
    <x v="9"/>
    <s v="Pagamento de transporte"/>
    <x v="98"/>
    <x v="1"/>
    <s v="Conta Corrente"/>
    <x v="9"/>
    <n v="-2438.33"/>
  </r>
  <r>
    <d v="2026-10-29T00:00:00"/>
    <x v="1"/>
    <x v="10"/>
    <s v="Pagamento de aluguel"/>
    <x v="99"/>
    <x v="1"/>
    <s v="Caixa"/>
    <x v="9"/>
    <n v="-1029.0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3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25">
  <location ref="K3:N15" firstHeaderRow="1" firstDataRow="2" firstDataCol="1"/>
  <pivotFields count="9">
    <pivotField numFmtId="14" showAll="0"/>
    <pivotField axis="axisCol" showAll="0">
      <items count="3">
        <item x="0"/>
        <item x="1"/>
        <item t="default"/>
      </items>
    </pivotField>
    <pivotField showAll="0"/>
    <pivotField showAll="0"/>
    <pivotField numFmtId="44" showAll="0"/>
    <pivotField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 defaultSubtotal="0"/>
  </pivotFields>
  <rowFields count="1">
    <field x="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oma de valor liquído" fld="8" baseField="1" baseItem="1" numFmtId="44"/>
  </dataFields>
  <chartFormats count="6"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8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8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4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4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3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29">
  <location ref="I3:L15" firstHeaderRow="1" firstDataRow="2" firstDataCol="1"/>
  <pivotFields count="9">
    <pivotField numFmtId="14" showAll="0"/>
    <pivotField axis="axisCol" showAll="0">
      <items count="3">
        <item x="0"/>
        <item x="1"/>
        <item t="default"/>
      </items>
    </pivotField>
    <pivotField showAll="0"/>
    <pivotField showAll="0"/>
    <pivotField numFmtId="44" showAll="0"/>
    <pivotField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 defaultSubtotal="0"/>
  </pivotFields>
  <rowFields count="1">
    <field x="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oma de valor liquído" fld="8" baseField="1" baseItem="1" numFmtId="44"/>
  </dataFields>
  <chartFormats count="12"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8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8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4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4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5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5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7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7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8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8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29">
  <location ref="A3:D15" firstHeaderRow="1" firstDataRow="2" firstDataCol="1"/>
  <pivotFields count="9">
    <pivotField numFmtId="14" showAll="0"/>
    <pivotField axis="axisCol" showAll="0">
      <items count="3">
        <item x="0"/>
        <item x="1"/>
        <item t="default"/>
      </items>
    </pivotField>
    <pivotField showAll="0"/>
    <pivotField showAll="0"/>
    <pivotField numFmtId="44" showAll="0"/>
    <pivotField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 defaultSubtotal="0"/>
  </pivotFields>
  <rowFields count="1">
    <field x="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oma de valor liquído" fld="8" baseField="1" baseItem="1" numFmtId="44"/>
  </dataFields>
  <chartFormats count="8">
    <chartFormat chart="18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8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4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4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5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5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7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7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ela dinâmica6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42">
  <location ref="H20:I28" firstHeaderRow="1" firstDataRow="1" firstDataCol="1" rowPageCount="1" colPageCount="1"/>
  <pivotFields count="9">
    <pivotField numFmtId="14" showAll="0"/>
    <pivotField axis="axisPage" showAll="0">
      <items count="3">
        <item x="0"/>
        <item x="1"/>
        <item t="default"/>
      </items>
    </pivotField>
    <pivotField axis="axisRow" multipleItemSelectionAllowed="1" showAll="0">
      <items count="12">
        <item x="10"/>
        <item x="8"/>
        <item x="1"/>
        <item x="4"/>
        <item x="3"/>
        <item x="7"/>
        <item x="6"/>
        <item x="5"/>
        <item x="2"/>
        <item x="9"/>
        <item h="1" x="0"/>
        <item t="default"/>
      </items>
    </pivotField>
    <pivotField showAll="0"/>
    <pivotField dataField="1" numFmtId="44" showAll="0">
      <items count="101">
        <item x="58"/>
        <item x="93"/>
        <item x="48"/>
        <item x="92"/>
        <item x="20"/>
        <item x="36"/>
        <item x="34"/>
        <item x="76"/>
        <item x="32"/>
        <item x="64"/>
        <item x="41"/>
        <item x="37"/>
        <item x="71"/>
        <item x="9"/>
        <item x="27"/>
        <item x="57"/>
        <item x="25"/>
        <item x="3"/>
        <item x="14"/>
        <item x="43"/>
        <item x="15"/>
        <item x="12"/>
        <item x="99"/>
        <item x="59"/>
        <item x="83"/>
        <item x="24"/>
        <item x="11"/>
        <item x="72"/>
        <item x="40"/>
        <item x="62"/>
        <item x="80"/>
        <item x="97"/>
        <item x="19"/>
        <item x="66"/>
        <item x="29"/>
        <item x="73"/>
        <item x="61"/>
        <item x="79"/>
        <item x="82"/>
        <item x="94"/>
        <item x="8"/>
        <item x="21"/>
        <item x="53"/>
        <item x="47"/>
        <item x="74"/>
        <item x="1"/>
        <item x="35"/>
        <item x="44"/>
        <item x="49"/>
        <item x="90"/>
        <item x="87"/>
        <item x="65"/>
        <item x="39"/>
        <item x="89"/>
        <item x="7"/>
        <item x="98"/>
        <item x="30"/>
        <item x="0"/>
        <item x="5"/>
        <item x="13"/>
        <item x="68"/>
        <item x="63"/>
        <item x="16"/>
        <item x="84"/>
        <item x="46"/>
        <item x="91"/>
        <item x="23"/>
        <item x="10"/>
        <item x="18"/>
        <item x="77"/>
        <item x="75"/>
        <item x="22"/>
        <item x="56"/>
        <item x="50"/>
        <item x="88"/>
        <item x="33"/>
        <item x="51"/>
        <item x="86"/>
        <item x="31"/>
        <item x="55"/>
        <item x="85"/>
        <item x="54"/>
        <item x="78"/>
        <item x="95"/>
        <item x="70"/>
        <item x="6"/>
        <item x="69"/>
        <item x="17"/>
        <item x="38"/>
        <item x="42"/>
        <item x="52"/>
        <item x="45"/>
        <item x="60"/>
        <item x="26"/>
        <item x="67"/>
        <item x="4"/>
        <item x="81"/>
        <item x="2"/>
        <item x="96"/>
        <item x="28"/>
        <item t="default"/>
      </items>
    </pivotField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 defaultSubtotal="0"/>
  </pivotFields>
  <rowFields count="1">
    <field x="2"/>
  </rowFields>
  <rowItems count="8">
    <i>
      <x/>
    </i>
    <i>
      <x v="1"/>
    </i>
    <i>
      <x v="2"/>
    </i>
    <i>
      <x v="4"/>
    </i>
    <i>
      <x v="5"/>
    </i>
    <i>
      <x v="7"/>
    </i>
    <i>
      <x v="9"/>
    </i>
    <i t="grand">
      <x/>
    </i>
  </rowItems>
  <colItems count="1">
    <i/>
  </colItems>
  <pageFields count="1">
    <pageField fld="1" item="1" hier="-1"/>
  </pageFields>
  <dataFields count="1">
    <dataField name="Soma de Valor (R$)" fld="4" baseField="0" baseItem="0"/>
  </dataFields>
  <chartFormats count="3">
    <chartFormat chart="3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Tabela dinâmica5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33">
  <location ref="C20:F30" firstHeaderRow="1" firstDataRow="2" firstDataCol="1"/>
  <pivotFields count="9">
    <pivotField numFmtId="14" showAll="0"/>
    <pivotField axis="axisCol" showAll="0">
      <items count="3">
        <item x="0"/>
        <item x="1"/>
        <item t="default"/>
      </items>
    </pivotField>
    <pivotField showAll="0"/>
    <pivotField showAll="0"/>
    <pivotField dataField="1" numFmtId="44" showAll="0"/>
    <pivotField axis="axisRow" showAll="0">
      <items count="9">
        <item x="5"/>
        <item x="7"/>
        <item x="0"/>
        <item x="1"/>
        <item x="3"/>
        <item x="4"/>
        <item x="2"/>
        <item x="6"/>
        <item t="default"/>
      </items>
    </pivotField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 defaultSubtotal="0"/>
  </pivotFields>
  <rowFields count="1">
    <field x="5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oma de Valor (R$)" fld="4" baseField="0" baseItem="0"/>
  </dataFields>
  <chartFormats count="2">
    <chartFormat chart="32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2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Mês" sourceName="Mês">
  <pivotTables>
    <pivotTable tabId="2" name="Tabela dinâmica3"/>
    <pivotTable tabId="2" name="Tabela dinâmica5"/>
    <pivotTable tabId="2" name="Tabela dinâmica6"/>
  </pivotTables>
  <data>
    <tabular pivotCacheId="1">
      <items count="10">
        <i x="0" s="1"/>
        <i x="1" s="1"/>
        <i x="2" s="1"/>
        <i x="3" s="1"/>
        <i x="4" s="1"/>
        <i x="5" s="1"/>
        <i x="6" s="1"/>
        <i x="7" s="1"/>
        <i x="8" s="1"/>
        <i x="9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ÊS" cache="SegmentaçãodeDados_Mês" style="Estilo de Segmentação de Dados 1" rowHeight="241300"/>
</slicers>
</file>

<file path=xl/tables/table1.xml><?xml version="1.0" encoding="utf-8"?>
<table xmlns="http://schemas.openxmlformats.org/spreadsheetml/2006/main" id="1" name="Tabela1" displayName="Tabela1" ref="A1:I101" totalsRowShown="0" headerRowDxfId="10" dataDxfId="9">
  <autoFilter ref="A1:I101"/>
  <tableColumns count="9">
    <tableColumn id="1" name="Data" dataDxfId="8"/>
    <tableColumn id="2" name="Tipo" dataDxfId="7"/>
    <tableColumn id="3" name="Categoria" dataDxfId="6"/>
    <tableColumn id="4" name="Descrição" dataDxfId="5"/>
    <tableColumn id="5" name="Valor (R$)" dataDxfId="4" dataCellStyle="Moeda"/>
    <tableColumn id="6" name="Forma de Pagamento" dataDxfId="3"/>
    <tableColumn id="7" name="Conta" dataDxfId="2"/>
    <tableColumn id="8" name="Mês" dataDxfId="1">
      <calculatedColumnFormula>MONTH(A2)</calculatedColumnFormula>
    </tableColumn>
    <tableColumn id="9" name="valor liquído" dataDxfId="0">
      <calculatedColumnFormula>IF(B2 = "Saída",-E2,E2)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5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1"/>
  <sheetViews>
    <sheetView topLeftCell="A43" workbookViewId="0">
      <selection activeCell="N20" sqref="N20"/>
    </sheetView>
  </sheetViews>
  <sheetFormatPr defaultRowHeight="15" x14ac:dyDescent="0.25"/>
  <cols>
    <col min="1" max="1" width="14.7109375" style="3" customWidth="1"/>
    <col min="2" max="2" width="11.140625" style="5" customWidth="1"/>
    <col min="3" max="3" width="17.42578125" style="5" customWidth="1"/>
    <col min="4" max="4" width="31.140625" style="5" customWidth="1"/>
    <col min="5" max="5" width="15.7109375" style="8" customWidth="1"/>
    <col min="6" max="6" width="24.5703125" style="5" customWidth="1"/>
    <col min="7" max="7" width="16.5703125" style="5" customWidth="1"/>
    <col min="8" max="8" width="11.42578125" style="10" customWidth="1"/>
    <col min="9" max="9" width="18.7109375" customWidth="1"/>
    <col min="11" max="11" width="20.42578125" customWidth="1"/>
    <col min="12" max="12" width="19.5703125" customWidth="1"/>
    <col min="13" max="14" width="13.28515625" customWidth="1"/>
  </cols>
  <sheetData>
    <row r="1" spans="1:14" x14ac:dyDescent="0.25">
      <c r="A1" s="1" t="s">
        <v>0</v>
      </c>
      <c r="B1" s="2" t="s">
        <v>1</v>
      </c>
      <c r="C1" s="2" t="s">
        <v>2</v>
      </c>
      <c r="D1" s="2" t="s">
        <v>3</v>
      </c>
      <c r="E1" s="6" t="s">
        <v>28</v>
      </c>
      <c r="F1" s="2" t="s">
        <v>29</v>
      </c>
      <c r="G1" s="2" t="s">
        <v>30</v>
      </c>
      <c r="H1" s="7" t="s">
        <v>31</v>
      </c>
      <c r="I1" s="14" t="s">
        <v>45</v>
      </c>
    </row>
    <row r="2" spans="1:14" x14ac:dyDescent="0.25">
      <c r="A2" s="3">
        <v>46027</v>
      </c>
      <c r="B2" s="4" t="s">
        <v>4</v>
      </c>
      <c r="C2" s="5" t="s">
        <v>5</v>
      </c>
      <c r="D2" s="5" t="s">
        <v>6</v>
      </c>
      <c r="E2" s="8">
        <v>2473.62</v>
      </c>
      <c r="F2" s="5" t="s">
        <v>32</v>
      </c>
      <c r="G2" s="5" t="s">
        <v>33</v>
      </c>
      <c r="H2" s="9">
        <f>MONTH(A2)</f>
        <v>1</v>
      </c>
      <c r="I2" s="5">
        <f t="shared" ref="I2:I33" si="0">IF(B2 = "Saída",-E2,E2)</f>
        <v>2473.62</v>
      </c>
    </row>
    <row r="3" spans="1:14" x14ac:dyDescent="0.25">
      <c r="A3" s="3">
        <v>46030</v>
      </c>
      <c r="B3" s="4" t="s">
        <v>7</v>
      </c>
      <c r="C3" s="5" t="s">
        <v>8</v>
      </c>
      <c r="D3" s="5" t="s">
        <v>9</v>
      </c>
      <c r="E3" s="8">
        <v>1856.27</v>
      </c>
      <c r="F3" s="5" t="s">
        <v>32</v>
      </c>
      <c r="G3" s="5" t="s">
        <v>34</v>
      </c>
      <c r="H3" s="9">
        <f t="shared" ref="H3:H66" si="1">MONTH(A3)</f>
        <v>1</v>
      </c>
      <c r="I3" s="5">
        <f t="shared" si="0"/>
        <v>-1856.27</v>
      </c>
      <c r="K3" s="11" t="s">
        <v>46</v>
      </c>
      <c r="L3" s="11" t="s">
        <v>47</v>
      </c>
    </row>
    <row r="4" spans="1:14" x14ac:dyDescent="0.25">
      <c r="A4" s="3">
        <v>46033</v>
      </c>
      <c r="B4" s="4" t="s">
        <v>4</v>
      </c>
      <c r="C4" s="5" t="s">
        <v>5</v>
      </c>
      <c r="D4" s="5" t="s">
        <v>6</v>
      </c>
      <c r="E4" s="8">
        <v>4643.99</v>
      </c>
      <c r="F4" s="5" t="s">
        <v>35</v>
      </c>
      <c r="G4" s="5" t="s">
        <v>34</v>
      </c>
      <c r="H4" s="9">
        <f t="shared" si="1"/>
        <v>1</v>
      </c>
      <c r="I4" s="5">
        <f t="shared" si="0"/>
        <v>4643.99</v>
      </c>
      <c r="K4" s="11" t="s">
        <v>42</v>
      </c>
      <c r="L4" t="s">
        <v>4</v>
      </c>
      <c r="M4" t="s">
        <v>7</v>
      </c>
      <c r="N4" t="s">
        <v>43</v>
      </c>
    </row>
    <row r="5" spans="1:14" x14ac:dyDescent="0.25">
      <c r="A5" s="3">
        <v>46036</v>
      </c>
      <c r="B5" s="4" t="s">
        <v>4</v>
      </c>
      <c r="C5" s="5" t="s">
        <v>10</v>
      </c>
      <c r="D5" s="5" t="s">
        <v>11</v>
      </c>
      <c r="E5" s="8">
        <v>829.1</v>
      </c>
      <c r="F5" s="5" t="s">
        <v>36</v>
      </c>
      <c r="G5" s="5" t="s">
        <v>33</v>
      </c>
      <c r="H5" s="9">
        <f t="shared" si="1"/>
        <v>1</v>
      </c>
      <c r="I5" s="5">
        <f t="shared" si="0"/>
        <v>829.1</v>
      </c>
      <c r="K5" s="12">
        <v>1</v>
      </c>
      <c r="L5" s="15">
        <v>15973.470000000001</v>
      </c>
      <c r="M5" s="15">
        <v>-8410.0499999999993</v>
      </c>
      <c r="N5" s="15">
        <v>7563.4200000000019</v>
      </c>
    </row>
    <row r="6" spans="1:14" x14ac:dyDescent="0.25">
      <c r="A6" s="3">
        <v>46039</v>
      </c>
      <c r="B6" s="4" t="s">
        <v>4</v>
      </c>
      <c r="C6" s="5" t="s">
        <v>10</v>
      </c>
      <c r="D6" s="5" t="s">
        <v>11</v>
      </c>
      <c r="E6" s="8">
        <v>4622.76</v>
      </c>
      <c r="F6" s="5" t="s">
        <v>36</v>
      </c>
      <c r="G6" s="5" t="s">
        <v>33</v>
      </c>
      <c r="H6" s="9">
        <f t="shared" si="1"/>
        <v>1</v>
      </c>
      <c r="I6" s="5">
        <f t="shared" si="0"/>
        <v>4622.76</v>
      </c>
      <c r="K6" s="12">
        <v>2</v>
      </c>
      <c r="L6" s="15">
        <v>14573.71</v>
      </c>
      <c r="M6" s="15">
        <v>-4491.43</v>
      </c>
      <c r="N6" s="15">
        <v>10082.279999999999</v>
      </c>
    </row>
    <row r="7" spans="1:14" x14ac:dyDescent="0.25">
      <c r="A7" s="3">
        <v>46042</v>
      </c>
      <c r="B7" s="4" t="s">
        <v>7</v>
      </c>
      <c r="C7" s="5" t="s">
        <v>12</v>
      </c>
      <c r="D7" s="5" t="s">
        <v>13</v>
      </c>
      <c r="E7" s="8">
        <v>2563.31</v>
      </c>
      <c r="F7" s="5" t="s">
        <v>32</v>
      </c>
      <c r="G7" s="5" t="s">
        <v>33</v>
      </c>
      <c r="H7" s="9">
        <f t="shared" si="1"/>
        <v>1</v>
      </c>
      <c r="I7" s="5">
        <f t="shared" si="0"/>
        <v>-2563.31</v>
      </c>
      <c r="K7" s="12">
        <v>3</v>
      </c>
      <c r="L7" s="15">
        <v>19013.939999999999</v>
      </c>
      <c r="M7" s="15">
        <v>-2559.29</v>
      </c>
      <c r="N7" s="15">
        <v>16454.649999999998</v>
      </c>
    </row>
    <row r="8" spans="1:14" x14ac:dyDescent="0.25">
      <c r="A8" s="3">
        <v>46045</v>
      </c>
      <c r="B8" s="4" t="s">
        <v>4</v>
      </c>
      <c r="C8" s="5" t="s">
        <v>14</v>
      </c>
      <c r="D8" s="5" t="s">
        <v>15</v>
      </c>
      <c r="E8" s="8">
        <v>3404</v>
      </c>
      <c r="F8" s="5" t="s">
        <v>37</v>
      </c>
      <c r="G8" s="5" t="s">
        <v>34</v>
      </c>
      <c r="H8" s="9">
        <f t="shared" si="1"/>
        <v>1</v>
      </c>
      <c r="I8" s="5">
        <f t="shared" si="0"/>
        <v>3404</v>
      </c>
      <c r="K8" s="12">
        <v>4</v>
      </c>
      <c r="L8" s="15">
        <v>10918.900000000001</v>
      </c>
      <c r="M8" s="15">
        <v>-7251.67</v>
      </c>
      <c r="N8" s="15">
        <v>3667.2300000000014</v>
      </c>
    </row>
    <row r="9" spans="1:14" x14ac:dyDescent="0.25">
      <c r="A9" s="3">
        <v>46048</v>
      </c>
      <c r="B9" s="4" t="s">
        <v>7</v>
      </c>
      <c r="C9" s="5" t="s">
        <v>12</v>
      </c>
      <c r="D9" s="5" t="s">
        <v>13</v>
      </c>
      <c r="E9" s="8">
        <v>2264.4499999999998</v>
      </c>
      <c r="F9" s="5" t="s">
        <v>37</v>
      </c>
      <c r="G9" s="5" t="s">
        <v>33</v>
      </c>
      <c r="H9" s="9">
        <f t="shared" si="1"/>
        <v>1</v>
      </c>
      <c r="I9" s="5">
        <f t="shared" si="0"/>
        <v>-2264.4499999999998</v>
      </c>
      <c r="K9" s="12">
        <v>5</v>
      </c>
      <c r="L9" s="15">
        <v>9626.380000000001</v>
      </c>
      <c r="M9" s="15">
        <v>-10600.009999999998</v>
      </c>
      <c r="N9" s="15">
        <v>-973.62999999999738</v>
      </c>
    </row>
    <row r="10" spans="1:14" x14ac:dyDescent="0.25">
      <c r="A10" s="3">
        <v>46051</v>
      </c>
      <c r="B10" s="4" t="s">
        <v>7</v>
      </c>
      <c r="C10" s="5" t="s">
        <v>16</v>
      </c>
      <c r="D10" s="5" t="s">
        <v>17</v>
      </c>
      <c r="E10" s="8">
        <v>1726.02</v>
      </c>
      <c r="F10" s="5" t="s">
        <v>35</v>
      </c>
      <c r="G10" s="5" t="s">
        <v>33</v>
      </c>
      <c r="H10" s="9">
        <f t="shared" si="1"/>
        <v>1</v>
      </c>
      <c r="I10" s="5">
        <f t="shared" si="0"/>
        <v>-1726.02</v>
      </c>
      <c r="K10" s="12">
        <v>6</v>
      </c>
      <c r="L10" s="15">
        <v>21912.739999999998</v>
      </c>
      <c r="M10" s="15">
        <v>-2082.91</v>
      </c>
      <c r="N10" s="15">
        <v>19829.829999999998</v>
      </c>
    </row>
    <row r="11" spans="1:14" x14ac:dyDescent="0.25">
      <c r="A11" s="3">
        <v>46054</v>
      </c>
      <c r="B11" s="4" t="s">
        <v>7</v>
      </c>
      <c r="C11" s="5" t="s">
        <v>16</v>
      </c>
      <c r="D11" s="5" t="s">
        <v>17</v>
      </c>
      <c r="E11" s="8">
        <v>729.23</v>
      </c>
      <c r="F11" s="5" t="s">
        <v>38</v>
      </c>
      <c r="G11" s="5" t="s">
        <v>33</v>
      </c>
      <c r="H11" s="9">
        <f t="shared" si="1"/>
        <v>2</v>
      </c>
      <c r="I11" s="5">
        <f t="shared" si="0"/>
        <v>-729.23</v>
      </c>
      <c r="K11" s="12">
        <v>7</v>
      </c>
      <c r="L11" s="15">
        <v>17646.46</v>
      </c>
      <c r="M11" s="15">
        <v>-8370.5</v>
      </c>
      <c r="N11" s="15">
        <v>9275.9599999999991</v>
      </c>
    </row>
    <row r="12" spans="1:14" x14ac:dyDescent="0.25">
      <c r="A12" s="3">
        <v>46057</v>
      </c>
      <c r="B12" s="4" t="s">
        <v>4</v>
      </c>
      <c r="C12" s="5" t="s">
        <v>14</v>
      </c>
      <c r="D12" s="5" t="s">
        <v>15</v>
      </c>
      <c r="E12" s="8">
        <v>2809.5</v>
      </c>
      <c r="F12" s="5" t="s">
        <v>36</v>
      </c>
      <c r="G12" s="5" t="s">
        <v>34</v>
      </c>
      <c r="H12" s="9">
        <f t="shared" si="1"/>
        <v>2</v>
      </c>
      <c r="I12" s="5">
        <f t="shared" si="0"/>
        <v>2809.5</v>
      </c>
      <c r="K12" s="12">
        <v>8</v>
      </c>
      <c r="L12" s="15">
        <v>13335.97</v>
      </c>
      <c r="M12" s="15">
        <v>-6377.0599999999995</v>
      </c>
      <c r="N12" s="15">
        <v>6958.91</v>
      </c>
    </row>
    <row r="13" spans="1:14" x14ac:dyDescent="0.25">
      <c r="A13" s="3">
        <v>46060</v>
      </c>
      <c r="B13" s="4" t="s">
        <v>4</v>
      </c>
      <c r="C13" s="5" t="s">
        <v>5</v>
      </c>
      <c r="D13" s="5" t="s">
        <v>6</v>
      </c>
      <c r="E13" s="8">
        <v>1149.6500000000001</v>
      </c>
      <c r="F13" s="5" t="s">
        <v>36</v>
      </c>
      <c r="G13" s="5" t="s">
        <v>34</v>
      </c>
      <c r="H13" s="9">
        <f t="shared" si="1"/>
        <v>2</v>
      </c>
      <c r="I13" s="5">
        <f t="shared" si="0"/>
        <v>1149.6500000000001</v>
      </c>
      <c r="K13" s="12">
        <v>9</v>
      </c>
      <c r="L13" s="15">
        <v>17200.010000000002</v>
      </c>
      <c r="M13" s="15">
        <v>-7728.3099999999995</v>
      </c>
      <c r="N13" s="15">
        <v>9471.7000000000025</v>
      </c>
    </row>
    <row r="14" spans="1:14" x14ac:dyDescent="0.25">
      <c r="A14" s="3">
        <v>46063</v>
      </c>
      <c r="B14" s="4" t="s">
        <v>4</v>
      </c>
      <c r="C14" s="5" t="s">
        <v>10</v>
      </c>
      <c r="D14" s="5" t="s">
        <v>11</v>
      </c>
      <c r="E14" s="8">
        <v>977.38</v>
      </c>
      <c r="F14" s="5" t="s">
        <v>36</v>
      </c>
      <c r="G14" s="5" t="s">
        <v>34</v>
      </c>
      <c r="H14" s="9">
        <f t="shared" si="1"/>
        <v>2</v>
      </c>
      <c r="I14" s="5">
        <f t="shared" si="0"/>
        <v>977.38</v>
      </c>
      <c r="K14" s="12">
        <v>10</v>
      </c>
      <c r="L14" s="15">
        <v>11348.11</v>
      </c>
      <c r="M14" s="15">
        <v>-9120.7699999999986</v>
      </c>
      <c r="N14" s="15">
        <v>2227.340000000002</v>
      </c>
    </row>
    <row r="15" spans="1:14" x14ac:dyDescent="0.25">
      <c r="A15" s="3">
        <v>46066</v>
      </c>
      <c r="B15" s="4" t="s">
        <v>4</v>
      </c>
      <c r="C15" s="5" t="s">
        <v>5</v>
      </c>
      <c r="D15" s="5" t="s">
        <v>6</v>
      </c>
      <c r="E15" s="8">
        <v>2569.94</v>
      </c>
      <c r="F15" s="5" t="s">
        <v>36</v>
      </c>
      <c r="G15" s="5" t="s">
        <v>33</v>
      </c>
      <c r="H15" s="9">
        <f t="shared" si="1"/>
        <v>2</v>
      </c>
      <c r="I15" s="5">
        <f t="shared" si="0"/>
        <v>2569.94</v>
      </c>
      <c r="K15" s="12" t="s">
        <v>43</v>
      </c>
      <c r="L15" s="15">
        <v>151549.69</v>
      </c>
      <c r="M15" s="15">
        <v>-66992</v>
      </c>
      <c r="N15" s="15">
        <v>84557.689999999988</v>
      </c>
    </row>
    <row r="16" spans="1:14" x14ac:dyDescent="0.25">
      <c r="A16" s="3">
        <v>46069</v>
      </c>
      <c r="B16" s="4" t="s">
        <v>4</v>
      </c>
      <c r="C16" s="5" t="s">
        <v>18</v>
      </c>
      <c r="D16" s="5" t="s">
        <v>19</v>
      </c>
      <c r="E16" s="8">
        <v>865.55</v>
      </c>
      <c r="F16" s="5" t="s">
        <v>36</v>
      </c>
      <c r="G16" s="5" t="s">
        <v>33</v>
      </c>
      <c r="H16" s="9">
        <f t="shared" si="1"/>
        <v>2</v>
      </c>
      <c r="I16" s="5">
        <f t="shared" si="0"/>
        <v>865.55</v>
      </c>
    </row>
    <row r="17" spans="1:9" x14ac:dyDescent="0.25">
      <c r="A17" s="3">
        <v>46072</v>
      </c>
      <c r="B17" s="4" t="s">
        <v>7</v>
      </c>
      <c r="C17" s="5" t="s">
        <v>16</v>
      </c>
      <c r="D17" s="5" t="s">
        <v>17</v>
      </c>
      <c r="E17" s="8">
        <v>936.48</v>
      </c>
      <c r="F17" s="5" t="s">
        <v>39</v>
      </c>
      <c r="G17" s="5" t="s">
        <v>33</v>
      </c>
      <c r="H17" s="9">
        <f t="shared" si="1"/>
        <v>2</v>
      </c>
      <c r="I17" s="5">
        <f t="shared" si="0"/>
        <v>-936.48</v>
      </c>
    </row>
    <row r="18" spans="1:9" x14ac:dyDescent="0.25">
      <c r="A18" s="3">
        <v>46075</v>
      </c>
      <c r="B18" s="4" t="s">
        <v>4</v>
      </c>
      <c r="C18" s="5" t="s">
        <v>14</v>
      </c>
      <c r="D18" s="5" t="s">
        <v>15</v>
      </c>
      <c r="E18" s="8">
        <v>2694.21</v>
      </c>
      <c r="F18" s="5" t="e">
        <f>tabelas!$A:$D+dados!J1</f>
        <v>#VALUE!</v>
      </c>
      <c r="G18" s="5" t="s">
        <v>34</v>
      </c>
      <c r="H18" s="9">
        <f t="shared" si="1"/>
        <v>2</v>
      </c>
      <c r="I18" s="5">
        <f t="shared" si="0"/>
        <v>2694.21</v>
      </c>
    </row>
    <row r="19" spans="1:9" x14ac:dyDescent="0.25">
      <c r="A19" s="3">
        <v>46078</v>
      </c>
      <c r="B19" s="4" t="s">
        <v>4</v>
      </c>
      <c r="C19" s="5" t="s">
        <v>5</v>
      </c>
      <c r="D19" s="5" t="s">
        <v>6</v>
      </c>
      <c r="E19" s="8">
        <v>3507.48</v>
      </c>
      <c r="F19" s="5" t="s">
        <v>37</v>
      </c>
      <c r="G19" s="5" t="s">
        <v>33</v>
      </c>
      <c r="H19" s="9">
        <f t="shared" si="1"/>
        <v>2</v>
      </c>
      <c r="I19" s="5">
        <f t="shared" si="0"/>
        <v>3507.48</v>
      </c>
    </row>
    <row r="20" spans="1:9" x14ac:dyDescent="0.25">
      <c r="A20" s="3">
        <v>46081</v>
      </c>
      <c r="B20" s="4" t="s">
        <v>7</v>
      </c>
      <c r="C20" s="5" t="s">
        <v>20</v>
      </c>
      <c r="D20" s="5" t="s">
        <v>21</v>
      </c>
      <c r="E20" s="8">
        <v>2825.72</v>
      </c>
      <c r="F20" s="5" t="s">
        <v>32</v>
      </c>
      <c r="G20" s="5" t="s">
        <v>41</v>
      </c>
      <c r="H20" s="9">
        <f t="shared" si="1"/>
        <v>2</v>
      </c>
      <c r="I20" s="5">
        <f t="shared" si="0"/>
        <v>-2825.72</v>
      </c>
    </row>
    <row r="21" spans="1:9" x14ac:dyDescent="0.25">
      <c r="A21" s="3">
        <v>46084</v>
      </c>
      <c r="B21" s="4" t="s">
        <v>4</v>
      </c>
      <c r="C21" s="5" t="s">
        <v>18</v>
      </c>
      <c r="D21" s="5" t="s">
        <v>19</v>
      </c>
      <c r="E21" s="8">
        <v>1584.94</v>
      </c>
      <c r="F21" s="5" t="s">
        <v>32</v>
      </c>
      <c r="G21" s="5" t="s">
        <v>34</v>
      </c>
      <c r="H21" s="9">
        <f t="shared" si="1"/>
        <v>3</v>
      </c>
      <c r="I21" s="5">
        <f t="shared" si="0"/>
        <v>1584.94</v>
      </c>
    </row>
    <row r="22" spans="1:9" x14ac:dyDescent="0.25">
      <c r="A22" s="3">
        <v>46087</v>
      </c>
      <c r="B22" s="4" t="s">
        <v>4</v>
      </c>
      <c r="C22" s="5" t="s">
        <v>18</v>
      </c>
      <c r="D22" s="5" t="s">
        <v>19</v>
      </c>
      <c r="E22" s="8">
        <v>523.22</v>
      </c>
      <c r="F22" s="5" t="s">
        <v>39</v>
      </c>
      <c r="G22" s="5" t="s">
        <v>34</v>
      </c>
      <c r="H22" s="9">
        <f t="shared" si="1"/>
        <v>3</v>
      </c>
      <c r="I22" s="5">
        <f t="shared" si="0"/>
        <v>523.22</v>
      </c>
    </row>
    <row r="23" spans="1:9" x14ac:dyDescent="0.25">
      <c r="A23" s="3">
        <v>46090</v>
      </c>
      <c r="B23" s="4" t="s">
        <v>7</v>
      </c>
      <c r="C23" s="5" t="s">
        <v>22</v>
      </c>
      <c r="D23" s="5" t="s">
        <v>23</v>
      </c>
      <c r="E23" s="8">
        <v>1766.3</v>
      </c>
      <c r="F23" s="5" t="s">
        <v>35</v>
      </c>
      <c r="G23" s="5" t="s">
        <v>41</v>
      </c>
      <c r="H23" s="9">
        <f t="shared" si="1"/>
        <v>3</v>
      </c>
      <c r="I23" s="5">
        <f t="shared" si="0"/>
        <v>-1766.3</v>
      </c>
    </row>
    <row r="24" spans="1:9" x14ac:dyDescent="0.25">
      <c r="A24" s="3">
        <v>46093</v>
      </c>
      <c r="B24" s="4" t="s">
        <v>4</v>
      </c>
      <c r="C24" s="5" t="s">
        <v>18</v>
      </c>
      <c r="D24" s="5" t="s">
        <v>19</v>
      </c>
      <c r="E24" s="8">
        <v>2870.65</v>
      </c>
      <c r="F24" s="5" t="s">
        <v>40</v>
      </c>
      <c r="G24" s="5" t="s">
        <v>34</v>
      </c>
      <c r="H24" s="9">
        <f t="shared" si="1"/>
        <v>3</v>
      </c>
      <c r="I24" s="5">
        <f t="shared" si="0"/>
        <v>2870.65</v>
      </c>
    </row>
    <row r="25" spans="1:9" x14ac:dyDescent="0.25">
      <c r="A25" s="3">
        <v>46096</v>
      </c>
      <c r="B25" s="4" t="s">
        <v>4</v>
      </c>
      <c r="C25" s="5" t="s">
        <v>5</v>
      </c>
      <c r="D25" s="5" t="s">
        <v>6</v>
      </c>
      <c r="E25" s="8">
        <v>2805.39</v>
      </c>
      <c r="F25" s="5" t="s">
        <v>32</v>
      </c>
      <c r="G25" s="5" t="s">
        <v>33</v>
      </c>
      <c r="H25" s="9">
        <f t="shared" si="1"/>
        <v>3</v>
      </c>
      <c r="I25" s="5">
        <f t="shared" si="0"/>
        <v>2805.39</v>
      </c>
    </row>
    <row r="26" spans="1:9" x14ac:dyDescent="0.25">
      <c r="A26" s="3">
        <v>46099</v>
      </c>
      <c r="B26" s="4" t="s">
        <v>4</v>
      </c>
      <c r="C26" s="5" t="s">
        <v>14</v>
      </c>
      <c r="D26" s="5" t="s">
        <v>15</v>
      </c>
      <c r="E26" s="8">
        <v>1101.3900000000001</v>
      </c>
      <c r="F26" s="5" t="s">
        <v>32</v>
      </c>
      <c r="G26" s="5" t="s">
        <v>34</v>
      </c>
      <c r="H26" s="9">
        <f t="shared" si="1"/>
        <v>3</v>
      </c>
      <c r="I26" s="5">
        <f t="shared" si="0"/>
        <v>1101.3900000000001</v>
      </c>
    </row>
    <row r="27" spans="1:9" x14ac:dyDescent="0.25">
      <c r="A27" s="3">
        <v>46102</v>
      </c>
      <c r="B27" s="4" t="s">
        <v>7</v>
      </c>
      <c r="C27" s="5" t="s">
        <v>24</v>
      </c>
      <c r="D27" s="5" t="s">
        <v>25</v>
      </c>
      <c r="E27" s="8">
        <v>792.99</v>
      </c>
      <c r="F27" s="5" t="s">
        <v>39</v>
      </c>
      <c r="G27" s="5" t="s">
        <v>41</v>
      </c>
      <c r="H27" s="9">
        <f t="shared" si="1"/>
        <v>3</v>
      </c>
      <c r="I27" s="5">
        <f t="shared" si="0"/>
        <v>-792.99</v>
      </c>
    </row>
    <row r="28" spans="1:9" x14ac:dyDescent="0.25">
      <c r="A28" s="3">
        <v>46105</v>
      </c>
      <c r="B28" s="4" t="s">
        <v>4</v>
      </c>
      <c r="C28" s="5" t="s">
        <v>18</v>
      </c>
      <c r="D28" s="5" t="s">
        <v>19</v>
      </c>
      <c r="E28" s="8">
        <v>4374.74</v>
      </c>
      <c r="F28" s="5" t="s">
        <v>32</v>
      </c>
      <c r="G28" s="5" t="s">
        <v>33</v>
      </c>
      <c r="H28" s="9">
        <f t="shared" si="1"/>
        <v>3</v>
      </c>
      <c r="I28" s="5">
        <f t="shared" si="0"/>
        <v>4374.74</v>
      </c>
    </row>
    <row r="29" spans="1:9" x14ac:dyDescent="0.25">
      <c r="A29" s="3">
        <v>46108</v>
      </c>
      <c r="B29" s="4" t="s">
        <v>4</v>
      </c>
      <c r="C29" s="5" t="s">
        <v>5</v>
      </c>
      <c r="D29" s="5" t="s">
        <v>6</v>
      </c>
      <c r="E29" s="8">
        <v>761.25</v>
      </c>
      <c r="F29" s="5" t="s">
        <v>38</v>
      </c>
      <c r="G29" s="5" t="s">
        <v>34</v>
      </c>
      <c r="H29" s="9">
        <f t="shared" si="1"/>
        <v>3</v>
      </c>
      <c r="I29" s="5">
        <f t="shared" si="0"/>
        <v>761.25</v>
      </c>
    </row>
    <row r="30" spans="1:9" x14ac:dyDescent="0.25">
      <c r="A30" s="3">
        <v>46111</v>
      </c>
      <c r="B30" s="4" t="s">
        <v>4</v>
      </c>
      <c r="C30" s="5" t="s">
        <v>5</v>
      </c>
      <c r="D30" s="5" t="s">
        <v>6</v>
      </c>
      <c r="E30" s="8">
        <v>4992.3599999999997</v>
      </c>
      <c r="F30" s="5" t="s">
        <v>39</v>
      </c>
      <c r="G30" s="5" t="s">
        <v>34</v>
      </c>
      <c r="H30" s="9">
        <f t="shared" si="1"/>
        <v>3</v>
      </c>
      <c r="I30" s="5">
        <f t="shared" si="0"/>
        <v>4992.3599999999997</v>
      </c>
    </row>
    <row r="31" spans="1:9" x14ac:dyDescent="0.25">
      <c r="A31" s="3">
        <v>46114</v>
      </c>
      <c r="B31" s="4" t="s">
        <v>7</v>
      </c>
      <c r="C31" s="5" t="s">
        <v>12</v>
      </c>
      <c r="D31" s="5" t="s">
        <v>13</v>
      </c>
      <c r="E31" s="8">
        <v>1614.77</v>
      </c>
      <c r="F31" s="5" t="s">
        <v>36</v>
      </c>
      <c r="G31" s="5" t="s">
        <v>41</v>
      </c>
      <c r="H31" s="9">
        <f t="shared" si="1"/>
        <v>4</v>
      </c>
      <c r="I31" s="5">
        <f t="shared" si="0"/>
        <v>-1614.77</v>
      </c>
    </row>
    <row r="32" spans="1:9" x14ac:dyDescent="0.25">
      <c r="A32" s="3">
        <v>46117</v>
      </c>
      <c r="B32" s="4" t="s">
        <v>7</v>
      </c>
      <c r="C32" s="5" t="s">
        <v>16</v>
      </c>
      <c r="D32" s="5" t="s">
        <v>17</v>
      </c>
      <c r="E32" s="8">
        <v>2467.06</v>
      </c>
      <c r="F32" s="5" t="s">
        <v>39</v>
      </c>
      <c r="G32" s="5" t="s">
        <v>34</v>
      </c>
      <c r="H32" s="9">
        <f t="shared" si="1"/>
        <v>4</v>
      </c>
      <c r="I32" s="5">
        <f t="shared" si="0"/>
        <v>-2467.06</v>
      </c>
    </row>
    <row r="33" spans="1:9" x14ac:dyDescent="0.25">
      <c r="A33" s="3">
        <v>46120</v>
      </c>
      <c r="B33" s="4" t="s">
        <v>4</v>
      </c>
      <c r="C33" s="5" t="s">
        <v>14</v>
      </c>
      <c r="D33" s="5" t="s">
        <v>15</v>
      </c>
      <c r="E33" s="8">
        <v>2990.24</v>
      </c>
      <c r="F33" s="5" t="s">
        <v>36</v>
      </c>
      <c r="G33" s="5" t="s">
        <v>34</v>
      </c>
      <c r="H33" s="9">
        <f t="shared" si="1"/>
        <v>4</v>
      </c>
      <c r="I33" s="5">
        <f t="shared" si="0"/>
        <v>2990.24</v>
      </c>
    </row>
    <row r="34" spans="1:9" x14ac:dyDescent="0.25">
      <c r="A34" s="3">
        <v>46123</v>
      </c>
      <c r="B34" s="4" t="s">
        <v>4</v>
      </c>
      <c r="C34" s="5" t="s">
        <v>5</v>
      </c>
      <c r="D34" s="5" t="s">
        <v>6</v>
      </c>
      <c r="E34" s="8">
        <v>588.99</v>
      </c>
      <c r="F34" s="5" t="s">
        <v>38</v>
      </c>
      <c r="G34" s="5" t="s">
        <v>41</v>
      </c>
      <c r="H34" s="9">
        <f t="shared" si="1"/>
        <v>4</v>
      </c>
      <c r="I34" s="5">
        <f t="shared" ref="I34:I65" si="2">IF(B34 = "Saída",-E34,E34)</f>
        <v>588.99</v>
      </c>
    </row>
    <row r="35" spans="1:9" x14ac:dyDescent="0.25">
      <c r="A35" s="3">
        <v>46126</v>
      </c>
      <c r="B35" s="4" t="s">
        <v>4</v>
      </c>
      <c r="C35" s="5" t="s">
        <v>14</v>
      </c>
      <c r="D35" s="5" t="s">
        <v>15</v>
      </c>
      <c r="E35" s="8">
        <v>2933.19</v>
      </c>
      <c r="F35" s="5" t="s">
        <v>35</v>
      </c>
      <c r="G35" s="5" t="s">
        <v>34</v>
      </c>
      <c r="H35" s="9">
        <f t="shared" si="1"/>
        <v>4</v>
      </c>
      <c r="I35" s="5">
        <f t="shared" si="2"/>
        <v>2933.19</v>
      </c>
    </row>
    <row r="36" spans="1:9" x14ac:dyDescent="0.25">
      <c r="A36" s="3">
        <v>46129</v>
      </c>
      <c r="B36" s="4" t="s">
        <v>4</v>
      </c>
      <c r="C36" s="5" t="s">
        <v>14</v>
      </c>
      <c r="D36" s="5" t="s">
        <v>15</v>
      </c>
      <c r="E36" s="8">
        <v>557.89</v>
      </c>
      <c r="F36" s="5" t="s">
        <v>38</v>
      </c>
      <c r="G36" s="5" t="s">
        <v>33</v>
      </c>
      <c r="H36" s="9">
        <f t="shared" si="1"/>
        <v>4</v>
      </c>
      <c r="I36" s="5">
        <f t="shared" si="2"/>
        <v>557.89</v>
      </c>
    </row>
    <row r="37" spans="1:9" x14ac:dyDescent="0.25">
      <c r="A37" s="3">
        <v>46132</v>
      </c>
      <c r="B37" s="4" t="s">
        <v>7</v>
      </c>
      <c r="C37" s="5" t="s">
        <v>22</v>
      </c>
      <c r="D37" s="5" t="s">
        <v>23</v>
      </c>
      <c r="E37" s="8">
        <v>1981.08</v>
      </c>
      <c r="F37" s="5" t="s">
        <v>38</v>
      </c>
      <c r="G37" s="5" t="s">
        <v>33</v>
      </c>
      <c r="H37" s="9">
        <f t="shared" si="1"/>
        <v>4</v>
      </c>
      <c r="I37" s="5">
        <f t="shared" si="2"/>
        <v>-1981.08</v>
      </c>
    </row>
    <row r="38" spans="1:9" x14ac:dyDescent="0.25">
      <c r="A38" s="3">
        <v>46135</v>
      </c>
      <c r="B38" s="4" t="s">
        <v>7</v>
      </c>
      <c r="C38" s="5" t="s">
        <v>24</v>
      </c>
      <c r="D38" s="5" t="s">
        <v>25</v>
      </c>
      <c r="E38" s="8">
        <v>533.85</v>
      </c>
      <c r="F38" s="5" t="s">
        <v>38</v>
      </c>
      <c r="G38" s="5" t="s">
        <v>33</v>
      </c>
      <c r="H38" s="9">
        <f t="shared" si="1"/>
        <v>4</v>
      </c>
      <c r="I38" s="5">
        <f t="shared" si="2"/>
        <v>-533.85</v>
      </c>
    </row>
    <row r="39" spans="1:9" x14ac:dyDescent="0.25">
      <c r="A39" s="3">
        <v>46138</v>
      </c>
      <c r="B39" s="4" t="s">
        <v>7</v>
      </c>
      <c r="C39" s="5" t="s">
        <v>24</v>
      </c>
      <c r="D39" s="5" t="s">
        <v>25</v>
      </c>
      <c r="E39" s="8">
        <v>654.91</v>
      </c>
      <c r="F39" s="5" t="s">
        <v>38</v>
      </c>
      <c r="G39" s="5" t="s">
        <v>34</v>
      </c>
      <c r="H39" s="9">
        <f t="shared" si="1"/>
        <v>4</v>
      </c>
      <c r="I39" s="5">
        <f t="shared" si="2"/>
        <v>-654.91</v>
      </c>
    </row>
    <row r="40" spans="1:9" x14ac:dyDescent="0.25">
      <c r="A40" s="3">
        <v>46141</v>
      </c>
      <c r="B40" s="4" t="s">
        <v>4</v>
      </c>
      <c r="C40" s="5" t="s">
        <v>5</v>
      </c>
      <c r="D40" s="5" t="s">
        <v>6</v>
      </c>
      <c r="E40" s="8">
        <v>3848.59</v>
      </c>
      <c r="F40" s="5" t="s">
        <v>39</v>
      </c>
      <c r="G40" s="5" t="s">
        <v>34</v>
      </c>
      <c r="H40" s="9">
        <f t="shared" si="1"/>
        <v>4</v>
      </c>
      <c r="I40" s="5">
        <f t="shared" si="2"/>
        <v>3848.59</v>
      </c>
    </row>
    <row r="41" spans="1:9" x14ac:dyDescent="0.25">
      <c r="A41" s="3">
        <v>46144</v>
      </c>
      <c r="B41" s="4" t="s">
        <v>7</v>
      </c>
      <c r="C41" s="5" t="s">
        <v>8</v>
      </c>
      <c r="D41" s="5" t="s">
        <v>9</v>
      </c>
      <c r="E41" s="8">
        <v>2203.9699999999998</v>
      </c>
      <c r="F41" s="5" t="s">
        <v>32</v>
      </c>
      <c r="G41" s="5" t="s">
        <v>34</v>
      </c>
      <c r="H41" s="9">
        <f t="shared" si="1"/>
        <v>5</v>
      </c>
      <c r="I41" s="5">
        <f t="shared" si="2"/>
        <v>-2203.9699999999998</v>
      </c>
    </row>
    <row r="42" spans="1:9" x14ac:dyDescent="0.25">
      <c r="A42" s="3">
        <v>46147</v>
      </c>
      <c r="B42" s="4" t="s">
        <v>4</v>
      </c>
      <c r="C42" s="5" t="s">
        <v>18</v>
      </c>
      <c r="D42" s="5" t="s">
        <v>19</v>
      </c>
      <c r="E42" s="8">
        <v>1229.1500000000001</v>
      </c>
      <c r="F42" s="5" t="s">
        <v>36</v>
      </c>
      <c r="G42" s="5" t="s">
        <v>41</v>
      </c>
      <c r="H42" s="9">
        <f t="shared" si="1"/>
        <v>5</v>
      </c>
      <c r="I42" s="5">
        <f t="shared" si="2"/>
        <v>1229.1500000000001</v>
      </c>
    </row>
    <row r="43" spans="1:9" x14ac:dyDescent="0.25">
      <c r="A43" s="3">
        <v>46150</v>
      </c>
      <c r="B43" s="4" t="s">
        <v>7</v>
      </c>
      <c r="C43" s="5" t="s">
        <v>8</v>
      </c>
      <c r="D43" s="5" t="s">
        <v>9</v>
      </c>
      <c r="E43" s="8">
        <v>626.04999999999995</v>
      </c>
      <c r="F43" s="5" t="s">
        <v>37</v>
      </c>
      <c r="G43" s="5" t="s">
        <v>41</v>
      </c>
      <c r="H43" s="9">
        <f t="shared" si="1"/>
        <v>5</v>
      </c>
      <c r="I43" s="5">
        <f t="shared" si="2"/>
        <v>-626.04999999999995</v>
      </c>
    </row>
    <row r="44" spans="1:9" x14ac:dyDescent="0.25">
      <c r="A44" s="3">
        <v>46153</v>
      </c>
      <c r="B44" s="4" t="s">
        <v>4</v>
      </c>
      <c r="C44" s="5" t="s">
        <v>5</v>
      </c>
      <c r="D44" s="5" t="s">
        <v>6</v>
      </c>
      <c r="E44" s="8">
        <v>4150.8100000000004</v>
      </c>
      <c r="F44" s="5" t="s">
        <v>39</v>
      </c>
      <c r="G44" s="5" t="s">
        <v>33</v>
      </c>
      <c r="H44" s="9">
        <f t="shared" si="1"/>
        <v>5</v>
      </c>
      <c r="I44" s="5">
        <f t="shared" si="2"/>
        <v>4150.8100000000004</v>
      </c>
    </row>
    <row r="45" spans="1:9" x14ac:dyDescent="0.25">
      <c r="A45" s="3">
        <v>46156</v>
      </c>
      <c r="B45" s="4" t="s">
        <v>7</v>
      </c>
      <c r="C45" s="5" t="s">
        <v>24</v>
      </c>
      <c r="D45" s="5" t="s">
        <v>25</v>
      </c>
      <c r="E45" s="8">
        <v>880.05</v>
      </c>
      <c r="F45" s="5" t="s">
        <v>36</v>
      </c>
      <c r="G45" s="5" t="s">
        <v>33</v>
      </c>
      <c r="H45" s="9">
        <f t="shared" si="1"/>
        <v>5</v>
      </c>
      <c r="I45" s="5">
        <f t="shared" si="2"/>
        <v>-880.05</v>
      </c>
    </row>
    <row r="46" spans="1:9" x14ac:dyDescent="0.25">
      <c r="A46" s="3">
        <v>46159</v>
      </c>
      <c r="B46" s="4" t="s">
        <v>7</v>
      </c>
      <c r="C46" s="5" t="s">
        <v>24</v>
      </c>
      <c r="D46" s="5" t="s">
        <v>25</v>
      </c>
      <c r="E46" s="8">
        <v>1989.97</v>
      </c>
      <c r="F46" s="5" t="s">
        <v>37</v>
      </c>
      <c r="G46" s="5" t="s">
        <v>33</v>
      </c>
      <c r="H46" s="9">
        <f t="shared" si="1"/>
        <v>5</v>
      </c>
      <c r="I46" s="5">
        <f t="shared" si="2"/>
        <v>-1989.97</v>
      </c>
    </row>
    <row r="47" spans="1:9" x14ac:dyDescent="0.25">
      <c r="A47" s="3">
        <v>46162</v>
      </c>
      <c r="B47" s="4" t="s">
        <v>4</v>
      </c>
      <c r="C47" s="5" t="s">
        <v>10</v>
      </c>
      <c r="D47" s="5" t="s">
        <v>11</v>
      </c>
      <c r="E47" s="8">
        <v>4246.42</v>
      </c>
      <c r="F47" s="5" t="s">
        <v>35</v>
      </c>
      <c r="G47" s="5" t="s">
        <v>33</v>
      </c>
      <c r="H47" s="9">
        <f t="shared" si="1"/>
        <v>5</v>
      </c>
      <c r="I47" s="5">
        <f t="shared" si="2"/>
        <v>4246.42</v>
      </c>
    </row>
    <row r="48" spans="1:9" x14ac:dyDescent="0.25">
      <c r="A48" s="3">
        <v>46165</v>
      </c>
      <c r="B48" s="4" t="s">
        <v>7</v>
      </c>
      <c r="C48" s="5" t="s">
        <v>8</v>
      </c>
      <c r="D48" s="5" t="s">
        <v>9</v>
      </c>
      <c r="E48" s="8">
        <v>2742.61</v>
      </c>
      <c r="F48" s="5" t="s">
        <v>39</v>
      </c>
      <c r="G48" s="5" t="s">
        <v>41</v>
      </c>
      <c r="H48" s="9">
        <f t="shared" si="1"/>
        <v>5</v>
      </c>
      <c r="I48" s="5">
        <f t="shared" si="2"/>
        <v>-2742.61</v>
      </c>
    </row>
    <row r="49" spans="1:9" x14ac:dyDescent="0.25">
      <c r="A49" s="3">
        <v>46168</v>
      </c>
      <c r="B49" s="4" t="s">
        <v>7</v>
      </c>
      <c r="C49" s="5" t="s">
        <v>8</v>
      </c>
      <c r="D49" s="5" t="s">
        <v>9</v>
      </c>
      <c r="E49" s="8">
        <v>1799.31</v>
      </c>
      <c r="F49" s="5" t="s">
        <v>36</v>
      </c>
      <c r="G49" s="5" t="s">
        <v>41</v>
      </c>
      <c r="H49" s="9">
        <f t="shared" si="1"/>
        <v>5</v>
      </c>
      <c r="I49" s="5">
        <f t="shared" si="2"/>
        <v>-1799.31</v>
      </c>
    </row>
    <row r="50" spans="1:9" x14ac:dyDescent="0.25">
      <c r="A50" s="3">
        <v>46171</v>
      </c>
      <c r="B50" s="4" t="s">
        <v>7</v>
      </c>
      <c r="C50" s="5" t="s">
        <v>12</v>
      </c>
      <c r="D50" s="5" t="s">
        <v>13</v>
      </c>
      <c r="E50" s="8">
        <v>358.05</v>
      </c>
      <c r="F50" s="5" t="s">
        <v>32</v>
      </c>
      <c r="G50" s="5" t="s">
        <v>41</v>
      </c>
      <c r="H50" s="9">
        <f t="shared" si="1"/>
        <v>5</v>
      </c>
      <c r="I50" s="5">
        <f t="shared" si="2"/>
        <v>-358.05</v>
      </c>
    </row>
    <row r="51" spans="1:9" x14ac:dyDescent="0.25">
      <c r="A51" s="3">
        <v>46174</v>
      </c>
      <c r="B51" s="4" t="s">
        <v>4</v>
      </c>
      <c r="C51" s="5" t="s">
        <v>5</v>
      </c>
      <c r="D51" s="5" t="s">
        <v>6</v>
      </c>
      <c r="E51" s="8">
        <v>2107.4499999999998</v>
      </c>
      <c r="F51" s="5" t="s">
        <v>37</v>
      </c>
      <c r="G51" s="5" t="s">
        <v>33</v>
      </c>
      <c r="H51" s="9">
        <f t="shared" si="1"/>
        <v>6</v>
      </c>
      <c r="I51" s="5">
        <f t="shared" si="2"/>
        <v>2107.4499999999998</v>
      </c>
    </row>
    <row r="52" spans="1:9" x14ac:dyDescent="0.25">
      <c r="A52" s="3">
        <v>46177</v>
      </c>
      <c r="B52" s="4" t="s">
        <v>4</v>
      </c>
      <c r="C52" s="5" t="s">
        <v>18</v>
      </c>
      <c r="D52" s="5" t="s">
        <v>19</v>
      </c>
      <c r="E52" s="8">
        <v>2910.65</v>
      </c>
      <c r="F52" s="5" t="s">
        <v>32</v>
      </c>
      <c r="G52" s="5" t="s">
        <v>41</v>
      </c>
      <c r="H52" s="9">
        <f t="shared" si="1"/>
        <v>6</v>
      </c>
      <c r="I52" s="5">
        <f t="shared" si="2"/>
        <v>2910.65</v>
      </c>
    </row>
    <row r="53" spans="1:9" x14ac:dyDescent="0.25">
      <c r="A53" s="3">
        <v>46180</v>
      </c>
      <c r="B53" s="4" t="s">
        <v>4</v>
      </c>
      <c r="C53" s="5" t="s">
        <v>18</v>
      </c>
      <c r="D53" s="5" t="s">
        <v>19</v>
      </c>
      <c r="E53" s="8">
        <v>2935.51</v>
      </c>
      <c r="F53" s="5" t="s">
        <v>40</v>
      </c>
      <c r="G53" s="5" t="s">
        <v>33</v>
      </c>
      <c r="H53" s="9">
        <f t="shared" si="1"/>
        <v>6</v>
      </c>
      <c r="I53" s="5">
        <f t="shared" si="2"/>
        <v>2935.51</v>
      </c>
    </row>
    <row r="54" spans="1:9" x14ac:dyDescent="0.25">
      <c r="A54" s="3">
        <v>46183</v>
      </c>
      <c r="B54" s="4" t="s">
        <v>4</v>
      </c>
      <c r="C54" s="5" t="s">
        <v>10</v>
      </c>
      <c r="D54" s="5" t="s">
        <v>11</v>
      </c>
      <c r="E54" s="8">
        <v>4163.66</v>
      </c>
      <c r="F54" s="5" t="s">
        <v>38</v>
      </c>
      <c r="G54" s="5" t="s">
        <v>33</v>
      </c>
      <c r="H54" s="9">
        <f t="shared" si="1"/>
        <v>6</v>
      </c>
      <c r="I54" s="5">
        <f t="shared" si="2"/>
        <v>4163.66</v>
      </c>
    </row>
    <row r="55" spans="1:9" x14ac:dyDescent="0.25">
      <c r="A55" s="3">
        <v>46186</v>
      </c>
      <c r="B55" s="4" t="s">
        <v>7</v>
      </c>
      <c r="C55" s="5" t="s">
        <v>12</v>
      </c>
      <c r="D55" s="5" t="s">
        <v>13</v>
      </c>
      <c r="E55" s="8">
        <v>1796.37</v>
      </c>
      <c r="F55" s="5" t="s">
        <v>32</v>
      </c>
      <c r="G55" s="5" t="s">
        <v>34</v>
      </c>
      <c r="H55" s="9">
        <f t="shared" si="1"/>
        <v>6</v>
      </c>
      <c r="I55" s="5">
        <f t="shared" si="2"/>
        <v>-1796.37</v>
      </c>
    </row>
    <row r="56" spans="1:9" x14ac:dyDescent="0.25">
      <c r="A56" s="3">
        <v>46189</v>
      </c>
      <c r="B56" s="4" t="s">
        <v>4</v>
      </c>
      <c r="C56" s="5" t="s">
        <v>5</v>
      </c>
      <c r="D56" s="5" t="s">
        <v>6</v>
      </c>
      <c r="E56" s="8">
        <v>3102.04</v>
      </c>
      <c r="F56" s="5" t="s">
        <v>36</v>
      </c>
      <c r="G56" s="5" t="s">
        <v>34</v>
      </c>
      <c r="H56" s="9">
        <f t="shared" si="1"/>
        <v>6</v>
      </c>
      <c r="I56" s="5">
        <f t="shared" si="2"/>
        <v>3102.04</v>
      </c>
    </row>
    <row r="57" spans="1:9" x14ac:dyDescent="0.25">
      <c r="A57" s="3">
        <v>46192</v>
      </c>
      <c r="B57" s="4" t="s">
        <v>4</v>
      </c>
      <c r="C57" s="5" t="s">
        <v>10</v>
      </c>
      <c r="D57" s="5" t="s">
        <v>11</v>
      </c>
      <c r="E57" s="8">
        <v>3035.78</v>
      </c>
      <c r="F57" s="5" t="s">
        <v>39</v>
      </c>
      <c r="G57" s="5" t="s">
        <v>34</v>
      </c>
      <c r="H57" s="9">
        <f t="shared" si="1"/>
        <v>6</v>
      </c>
      <c r="I57" s="5">
        <f t="shared" si="2"/>
        <v>3035.78</v>
      </c>
    </row>
    <row r="58" spans="1:9" x14ac:dyDescent="0.25">
      <c r="A58" s="3">
        <v>46195</v>
      </c>
      <c r="B58" s="4" t="s">
        <v>4</v>
      </c>
      <c r="C58" s="5" t="s">
        <v>10</v>
      </c>
      <c r="D58" s="5" t="s">
        <v>11</v>
      </c>
      <c r="E58" s="8">
        <v>2893.37</v>
      </c>
      <c r="F58" s="5" t="s">
        <v>39</v>
      </c>
      <c r="G58" s="5" t="s">
        <v>41</v>
      </c>
      <c r="H58" s="9">
        <f t="shared" si="1"/>
        <v>6</v>
      </c>
      <c r="I58" s="5">
        <f t="shared" si="2"/>
        <v>2893.37</v>
      </c>
    </row>
    <row r="59" spans="1:9" x14ac:dyDescent="0.25">
      <c r="A59" s="3">
        <v>46198</v>
      </c>
      <c r="B59" s="4" t="s">
        <v>4</v>
      </c>
      <c r="C59" s="5" t="s">
        <v>14</v>
      </c>
      <c r="D59" s="5" t="s">
        <v>15</v>
      </c>
      <c r="E59" s="8">
        <v>764.28</v>
      </c>
      <c r="F59" s="5" t="s">
        <v>38</v>
      </c>
      <c r="G59" s="5" t="s">
        <v>41</v>
      </c>
      <c r="H59" s="9">
        <f t="shared" si="1"/>
        <v>6</v>
      </c>
      <c r="I59" s="5">
        <f t="shared" si="2"/>
        <v>764.28</v>
      </c>
    </row>
    <row r="60" spans="1:9" x14ac:dyDescent="0.25">
      <c r="A60" s="3">
        <v>46201</v>
      </c>
      <c r="B60" s="4" t="s">
        <v>7</v>
      </c>
      <c r="C60" s="5" t="s">
        <v>16</v>
      </c>
      <c r="D60" s="5" t="s">
        <v>17</v>
      </c>
      <c r="E60" s="8">
        <v>286.54000000000002</v>
      </c>
      <c r="F60" s="5" t="s">
        <v>35</v>
      </c>
      <c r="G60" s="5" t="s">
        <v>33</v>
      </c>
      <c r="H60" s="9">
        <f t="shared" si="1"/>
        <v>6</v>
      </c>
      <c r="I60" s="5">
        <f t="shared" si="2"/>
        <v>-286.54000000000002</v>
      </c>
    </row>
    <row r="61" spans="1:9" x14ac:dyDescent="0.25">
      <c r="A61" s="3">
        <v>46204</v>
      </c>
      <c r="B61" s="4" t="s">
        <v>4</v>
      </c>
      <c r="C61" s="5" t="s">
        <v>5</v>
      </c>
      <c r="D61" s="5" t="s">
        <v>6</v>
      </c>
      <c r="E61" s="8">
        <v>1095.98</v>
      </c>
      <c r="F61" s="5" t="s">
        <v>32</v>
      </c>
      <c r="G61" s="5" t="s">
        <v>41</v>
      </c>
      <c r="H61" s="9">
        <f t="shared" si="1"/>
        <v>7</v>
      </c>
      <c r="I61" s="5">
        <f t="shared" si="2"/>
        <v>1095.98</v>
      </c>
    </row>
    <row r="62" spans="1:9" x14ac:dyDescent="0.25">
      <c r="A62" s="3">
        <v>46207</v>
      </c>
      <c r="B62" s="4" t="s">
        <v>4</v>
      </c>
      <c r="C62" s="5" t="s">
        <v>5</v>
      </c>
      <c r="D62" s="5" t="s">
        <v>6</v>
      </c>
      <c r="E62" s="8">
        <v>4295.62</v>
      </c>
      <c r="F62" s="5" t="s">
        <v>37</v>
      </c>
      <c r="G62" s="5" t="s">
        <v>34</v>
      </c>
      <c r="H62" s="9">
        <f t="shared" si="1"/>
        <v>7</v>
      </c>
      <c r="I62" s="5">
        <f t="shared" si="2"/>
        <v>4295.62</v>
      </c>
    </row>
    <row r="63" spans="1:9" x14ac:dyDescent="0.25">
      <c r="A63" s="3">
        <v>46210</v>
      </c>
      <c r="B63" s="4" t="s">
        <v>4</v>
      </c>
      <c r="C63" s="5" t="s">
        <v>10</v>
      </c>
      <c r="D63" s="5" t="s">
        <v>11</v>
      </c>
      <c r="E63" s="8">
        <v>1639.06</v>
      </c>
      <c r="F63" s="5" t="s">
        <v>37</v>
      </c>
      <c r="G63" s="5" t="s">
        <v>41</v>
      </c>
      <c r="H63" s="9">
        <f t="shared" si="1"/>
        <v>7</v>
      </c>
      <c r="I63" s="5">
        <f t="shared" si="2"/>
        <v>1639.06</v>
      </c>
    </row>
    <row r="64" spans="1:9" x14ac:dyDescent="0.25">
      <c r="A64" s="3">
        <v>46213</v>
      </c>
      <c r="B64" s="4" t="s">
        <v>7</v>
      </c>
      <c r="C64" s="5" t="s">
        <v>16</v>
      </c>
      <c r="D64" s="5" t="s">
        <v>17</v>
      </c>
      <c r="E64" s="8">
        <v>1289.4100000000001</v>
      </c>
      <c r="F64" s="5" t="s">
        <v>38</v>
      </c>
      <c r="G64" s="5" t="s">
        <v>33</v>
      </c>
      <c r="H64" s="9">
        <f t="shared" si="1"/>
        <v>7</v>
      </c>
      <c r="I64" s="5">
        <f t="shared" si="2"/>
        <v>-1289.4100000000001</v>
      </c>
    </row>
    <row r="65" spans="1:9" x14ac:dyDescent="0.25">
      <c r="A65" s="3">
        <v>46216</v>
      </c>
      <c r="B65" s="4" t="s">
        <v>4</v>
      </c>
      <c r="C65" s="5" t="s">
        <v>14</v>
      </c>
      <c r="D65" s="5" t="s">
        <v>15</v>
      </c>
      <c r="E65" s="8">
        <v>2678.41</v>
      </c>
      <c r="F65" s="5" t="s">
        <v>35</v>
      </c>
      <c r="G65" s="5" t="s">
        <v>33</v>
      </c>
      <c r="H65" s="9">
        <f t="shared" si="1"/>
        <v>7</v>
      </c>
      <c r="I65" s="5">
        <f t="shared" si="2"/>
        <v>2678.41</v>
      </c>
    </row>
    <row r="66" spans="1:9" x14ac:dyDescent="0.25">
      <c r="A66" s="3">
        <v>46219</v>
      </c>
      <c r="B66" s="4" t="s">
        <v>7</v>
      </c>
      <c r="C66" s="5" t="s">
        <v>16</v>
      </c>
      <c r="D66" s="5" t="s">
        <v>17</v>
      </c>
      <c r="E66" s="8">
        <v>610.84</v>
      </c>
      <c r="F66" s="5" t="s">
        <v>32</v>
      </c>
      <c r="G66" s="5" t="s">
        <v>34</v>
      </c>
      <c r="H66" s="9">
        <f t="shared" si="1"/>
        <v>7</v>
      </c>
      <c r="I66" s="5">
        <f t="shared" ref="I66:I101" si="3">IF(B66 = "Saída",-E66,E66)</f>
        <v>-610.84</v>
      </c>
    </row>
    <row r="67" spans="1:9" x14ac:dyDescent="0.25">
      <c r="A67" s="3">
        <v>46222</v>
      </c>
      <c r="B67" s="4" t="s">
        <v>7</v>
      </c>
      <c r="C67" s="5" t="s">
        <v>26</v>
      </c>
      <c r="D67" s="5" t="s">
        <v>27</v>
      </c>
      <c r="E67" s="8">
        <v>2199.2600000000002</v>
      </c>
      <c r="F67" s="5" t="s">
        <v>38</v>
      </c>
      <c r="G67" s="5" t="s">
        <v>33</v>
      </c>
      <c r="H67" s="9">
        <f t="shared" ref="H67:H101" si="4">MONTH(A67)</f>
        <v>7</v>
      </c>
      <c r="I67" s="5">
        <f t="shared" si="3"/>
        <v>-2199.2600000000002</v>
      </c>
    </row>
    <row r="68" spans="1:9" x14ac:dyDescent="0.25">
      <c r="A68" s="3">
        <v>46225</v>
      </c>
      <c r="B68" s="4" t="s">
        <v>7</v>
      </c>
      <c r="C68" s="5" t="s">
        <v>8</v>
      </c>
      <c r="D68" s="5" t="s">
        <v>9</v>
      </c>
      <c r="E68" s="8">
        <v>1600.05</v>
      </c>
      <c r="F68" s="5" t="s">
        <v>35</v>
      </c>
      <c r="G68" s="5" t="s">
        <v>33</v>
      </c>
      <c r="H68" s="9">
        <f t="shared" si="4"/>
        <v>7</v>
      </c>
      <c r="I68" s="5">
        <f t="shared" si="3"/>
        <v>-1600.05</v>
      </c>
    </row>
    <row r="69" spans="1:9" x14ac:dyDescent="0.25">
      <c r="A69" s="3">
        <v>46228</v>
      </c>
      <c r="B69" s="4" t="s">
        <v>4</v>
      </c>
      <c r="C69" s="5" t="s">
        <v>5</v>
      </c>
      <c r="D69" s="5" t="s">
        <v>6</v>
      </c>
      <c r="E69" s="8">
        <v>4514.54</v>
      </c>
      <c r="F69" s="5" t="s">
        <v>32</v>
      </c>
      <c r="G69" s="5" t="s">
        <v>34</v>
      </c>
      <c r="H69" s="9">
        <f t="shared" si="4"/>
        <v>7</v>
      </c>
      <c r="I69" s="5">
        <f t="shared" si="3"/>
        <v>4514.54</v>
      </c>
    </row>
    <row r="70" spans="1:9" x14ac:dyDescent="0.25">
      <c r="A70" s="3">
        <v>46231</v>
      </c>
      <c r="B70" s="4" t="s">
        <v>7</v>
      </c>
      <c r="C70" s="5" t="s">
        <v>8</v>
      </c>
      <c r="D70" s="5" t="s">
        <v>9</v>
      </c>
      <c r="E70" s="8">
        <v>2670.94</v>
      </c>
      <c r="F70" s="5" t="s">
        <v>35</v>
      </c>
      <c r="G70" s="5" t="s">
        <v>41</v>
      </c>
      <c r="H70" s="9">
        <f t="shared" si="4"/>
        <v>7</v>
      </c>
      <c r="I70" s="5">
        <f t="shared" si="3"/>
        <v>-2670.94</v>
      </c>
    </row>
    <row r="71" spans="1:9" x14ac:dyDescent="0.25">
      <c r="A71" s="3">
        <v>46234</v>
      </c>
      <c r="B71" s="4" t="s">
        <v>4</v>
      </c>
      <c r="C71" s="5" t="s">
        <v>10</v>
      </c>
      <c r="D71" s="5" t="s">
        <v>11</v>
      </c>
      <c r="E71" s="8">
        <v>3422.85</v>
      </c>
      <c r="F71" s="5" t="s">
        <v>37</v>
      </c>
      <c r="G71" s="5" t="s">
        <v>34</v>
      </c>
      <c r="H71" s="9">
        <f t="shared" si="4"/>
        <v>7</v>
      </c>
      <c r="I71" s="5">
        <f t="shared" si="3"/>
        <v>3422.85</v>
      </c>
    </row>
    <row r="72" spans="1:9" x14ac:dyDescent="0.25">
      <c r="A72" s="3">
        <v>46237</v>
      </c>
      <c r="B72" s="4" t="s">
        <v>4</v>
      </c>
      <c r="C72" s="5" t="s">
        <v>10</v>
      </c>
      <c r="D72" s="5" t="s">
        <v>11</v>
      </c>
      <c r="E72" s="8">
        <v>3281.6</v>
      </c>
      <c r="F72" s="5" t="s">
        <v>36</v>
      </c>
      <c r="G72" s="5" t="s">
        <v>33</v>
      </c>
      <c r="H72" s="9">
        <f t="shared" si="4"/>
        <v>8</v>
      </c>
      <c r="I72" s="5">
        <f t="shared" si="3"/>
        <v>3281.6</v>
      </c>
    </row>
    <row r="73" spans="1:9" x14ac:dyDescent="0.25">
      <c r="A73" s="3">
        <v>46240</v>
      </c>
      <c r="B73" s="4" t="s">
        <v>7</v>
      </c>
      <c r="C73" s="5" t="s">
        <v>12</v>
      </c>
      <c r="D73" s="5" t="s">
        <v>13</v>
      </c>
      <c r="E73" s="8">
        <v>657.96</v>
      </c>
      <c r="F73" s="5" t="s">
        <v>38</v>
      </c>
      <c r="G73" s="5" t="s">
        <v>33</v>
      </c>
      <c r="H73" s="9">
        <f t="shared" si="4"/>
        <v>8</v>
      </c>
      <c r="I73" s="5">
        <f t="shared" si="3"/>
        <v>-657.96</v>
      </c>
    </row>
    <row r="74" spans="1:9" x14ac:dyDescent="0.25">
      <c r="A74" s="3">
        <v>46243</v>
      </c>
      <c r="B74" s="4" t="s">
        <v>7</v>
      </c>
      <c r="C74" s="5" t="s">
        <v>26</v>
      </c>
      <c r="D74" s="5" t="s">
        <v>27</v>
      </c>
      <c r="E74" s="8">
        <v>1220.5999999999999</v>
      </c>
      <c r="F74" s="5" t="s">
        <v>40</v>
      </c>
      <c r="G74" s="5" t="s">
        <v>34</v>
      </c>
      <c r="H74" s="9">
        <f t="shared" si="4"/>
        <v>8</v>
      </c>
      <c r="I74" s="5">
        <f t="shared" si="3"/>
        <v>-1220.5999999999999</v>
      </c>
    </row>
    <row r="75" spans="1:9" x14ac:dyDescent="0.25">
      <c r="A75" s="3">
        <v>46246</v>
      </c>
      <c r="B75" s="4" t="s">
        <v>7</v>
      </c>
      <c r="C75" s="5" t="s">
        <v>16</v>
      </c>
      <c r="D75" s="5" t="s">
        <v>17</v>
      </c>
      <c r="E75" s="8">
        <v>1637.13</v>
      </c>
      <c r="F75" s="5" t="s">
        <v>40</v>
      </c>
      <c r="G75" s="5" t="s">
        <v>41</v>
      </c>
      <c r="H75" s="9">
        <f t="shared" si="4"/>
        <v>8</v>
      </c>
      <c r="I75" s="5">
        <f t="shared" si="3"/>
        <v>-1637.13</v>
      </c>
    </row>
    <row r="76" spans="1:9" x14ac:dyDescent="0.25">
      <c r="A76" s="3">
        <v>46249</v>
      </c>
      <c r="B76" s="4" t="s">
        <v>4</v>
      </c>
      <c r="C76" s="5" t="s">
        <v>10</v>
      </c>
      <c r="D76" s="5" t="s">
        <v>11</v>
      </c>
      <c r="E76" s="8">
        <v>1836.78</v>
      </c>
      <c r="F76" s="5" t="s">
        <v>37</v>
      </c>
      <c r="G76" s="5" t="s">
        <v>41</v>
      </c>
      <c r="H76" s="9">
        <f t="shared" si="4"/>
        <v>8</v>
      </c>
      <c r="I76" s="5">
        <f t="shared" si="3"/>
        <v>1836.78</v>
      </c>
    </row>
    <row r="77" spans="1:9" x14ac:dyDescent="0.25">
      <c r="A77" s="3">
        <v>46252</v>
      </c>
      <c r="B77" s="4" t="s">
        <v>7</v>
      </c>
      <c r="C77" s="5" t="s">
        <v>8</v>
      </c>
      <c r="D77" s="5" t="s">
        <v>9</v>
      </c>
      <c r="E77" s="8">
        <v>2861.37</v>
      </c>
      <c r="F77" s="5" t="s">
        <v>37</v>
      </c>
      <c r="G77" s="5" t="s">
        <v>41</v>
      </c>
      <c r="H77" s="9">
        <f t="shared" si="4"/>
        <v>8</v>
      </c>
      <c r="I77" s="5">
        <f t="shared" si="3"/>
        <v>-2861.37</v>
      </c>
    </row>
    <row r="78" spans="1:9" x14ac:dyDescent="0.25">
      <c r="A78" s="3">
        <v>46255</v>
      </c>
      <c r="B78" s="4" t="s">
        <v>4</v>
      </c>
      <c r="C78" s="5" t="s">
        <v>18</v>
      </c>
      <c r="D78" s="5" t="s">
        <v>19</v>
      </c>
      <c r="E78" s="8">
        <v>583.74</v>
      </c>
      <c r="F78" s="5" t="s">
        <v>36</v>
      </c>
      <c r="G78" s="5" t="s">
        <v>33</v>
      </c>
      <c r="H78" s="9">
        <f t="shared" si="4"/>
        <v>8</v>
      </c>
      <c r="I78" s="5">
        <f t="shared" si="3"/>
        <v>583.74</v>
      </c>
    </row>
    <row r="79" spans="1:9" x14ac:dyDescent="0.25">
      <c r="A79" s="3">
        <v>46258</v>
      </c>
      <c r="B79" s="4" t="s">
        <v>4</v>
      </c>
      <c r="C79" s="5" t="s">
        <v>5</v>
      </c>
      <c r="D79" s="5" t="s">
        <v>6</v>
      </c>
      <c r="E79" s="8">
        <v>2835</v>
      </c>
      <c r="F79" s="5" t="s">
        <v>40</v>
      </c>
      <c r="G79" s="5" t="s">
        <v>41</v>
      </c>
      <c r="H79" s="9">
        <f t="shared" si="4"/>
        <v>8</v>
      </c>
      <c r="I79" s="5">
        <f t="shared" si="3"/>
        <v>2835</v>
      </c>
    </row>
    <row r="80" spans="1:9" x14ac:dyDescent="0.25">
      <c r="A80" s="3">
        <v>46261</v>
      </c>
      <c r="B80" s="4" t="s">
        <v>4</v>
      </c>
      <c r="C80" s="5" t="s">
        <v>18</v>
      </c>
      <c r="D80" s="5" t="s">
        <v>19</v>
      </c>
      <c r="E80" s="8">
        <v>3154.59</v>
      </c>
      <c r="F80" s="5" t="s">
        <v>35</v>
      </c>
      <c r="G80" s="5" t="s">
        <v>34</v>
      </c>
      <c r="H80" s="9">
        <f t="shared" si="4"/>
        <v>8</v>
      </c>
      <c r="I80" s="5">
        <f t="shared" si="3"/>
        <v>3154.59</v>
      </c>
    </row>
    <row r="81" spans="1:9" x14ac:dyDescent="0.25">
      <c r="A81" s="3">
        <v>46264</v>
      </c>
      <c r="B81" s="4" t="s">
        <v>4</v>
      </c>
      <c r="C81" s="5" t="s">
        <v>5</v>
      </c>
      <c r="D81" s="5" t="s">
        <v>6</v>
      </c>
      <c r="E81" s="8">
        <v>1644.26</v>
      </c>
      <c r="F81" s="5" t="s">
        <v>35</v>
      </c>
      <c r="G81" s="5" t="s">
        <v>34</v>
      </c>
      <c r="H81" s="9">
        <f t="shared" si="4"/>
        <v>8</v>
      </c>
      <c r="I81" s="5">
        <f t="shared" si="3"/>
        <v>1644.26</v>
      </c>
    </row>
    <row r="82" spans="1:9" x14ac:dyDescent="0.25">
      <c r="A82" s="3">
        <v>46267</v>
      </c>
      <c r="B82" s="4" t="s">
        <v>4</v>
      </c>
      <c r="C82" s="5" t="s">
        <v>5</v>
      </c>
      <c r="D82" s="5" t="s">
        <v>6</v>
      </c>
      <c r="E82" s="8">
        <v>1472.39</v>
      </c>
      <c r="F82" s="5" t="s">
        <v>40</v>
      </c>
      <c r="G82" s="5" t="s">
        <v>34</v>
      </c>
      <c r="H82" s="9">
        <f t="shared" si="4"/>
        <v>9</v>
      </c>
      <c r="I82" s="5">
        <f t="shared" si="3"/>
        <v>1472.39</v>
      </c>
    </row>
    <row r="83" spans="1:9" x14ac:dyDescent="0.25">
      <c r="A83" s="3">
        <v>46270</v>
      </c>
      <c r="B83" s="4" t="s">
        <v>4</v>
      </c>
      <c r="C83" s="5" t="s">
        <v>18</v>
      </c>
      <c r="D83" s="5" t="s">
        <v>19</v>
      </c>
      <c r="E83" s="8">
        <v>4624.62</v>
      </c>
      <c r="F83" s="5" t="s">
        <v>39</v>
      </c>
      <c r="G83" s="5" t="s">
        <v>33</v>
      </c>
      <c r="H83" s="9">
        <f t="shared" si="4"/>
        <v>9</v>
      </c>
      <c r="I83" s="5">
        <f t="shared" si="3"/>
        <v>4624.62</v>
      </c>
    </row>
    <row r="84" spans="1:9" x14ac:dyDescent="0.25">
      <c r="A84" s="3">
        <v>46273</v>
      </c>
      <c r="B84" s="4" t="s">
        <v>7</v>
      </c>
      <c r="C84" s="5" t="s">
        <v>16</v>
      </c>
      <c r="D84" s="5" t="s">
        <v>17</v>
      </c>
      <c r="E84" s="8">
        <v>1682.22</v>
      </c>
      <c r="F84" s="5" t="s">
        <v>37</v>
      </c>
      <c r="G84" s="5" t="s">
        <v>34</v>
      </c>
      <c r="H84" s="9">
        <f t="shared" si="4"/>
        <v>9</v>
      </c>
      <c r="I84" s="5">
        <f t="shared" si="3"/>
        <v>-1682.22</v>
      </c>
    </row>
    <row r="85" spans="1:9" x14ac:dyDescent="0.25">
      <c r="A85" s="3">
        <v>46276</v>
      </c>
      <c r="B85" s="4" t="s">
        <v>7</v>
      </c>
      <c r="C85" s="5" t="s">
        <v>20</v>
      </c>
      <c r="D85" s="5" t="s">
        <v>21</v>
      </c>
      <c r="E85" s="8">
        <v>1101.1500000000001</v>
      </c>
      <c r="F85" s="5" t="s">
        <v>32</v>
      </c>
      <c r="G85" s="5" t="s">
        <v>33</v>
      </c>
      <c r="H85" s="9">
        <f t="shared" si="4"/>
        <v>9</v>
      </c>
      <c r="I85" s="5">
        <f t="shared" si="3"/>
        <v>-1101.1500000000001</v>
      </c>
    </row>
    <row r="86" spans="1:9" x14ac:dyDescent="0.25">
      <c r="A86" s="3">
        <v>46279</v>
      </c>
      <c r="B86" s="4" t="s">
        <v>7</v>
      </c>
      <c r="C86" s="5" t="s">
        <v>8</v>
      </c>
      <c r="D86" s="5" t="s">
        <v>9</v>
      </c>
      <c r="E86" s="8">
        <v>2697.29</v>
      </c>
      <c r="F86" s="5" t="s">
        <v>37</v>
      </c>
      <c r="G86" s="5" t="s">
        <v>41</v>
      </c>
      <c r="H86" s="9">
        <f t="shared" si="4"/>
        <v>9</v>
      </c>
      <c r="I86" s="5">
        <f t="shared" si="3"/>
        <v>-2697.29</v>
      </c>
    </row>
    <row r="87" spans="1:9" x14ac:dyDescent="0.25">
      <c r="A87" s="3">
        <v>46282</v>
      </c>
      <c r="B87" s="4" t="s">
        <v>4</v>
      </c>
      <c r="C87" s="5" t="s">
        <v>10</v>
      </c>
      <c r="D87" s="5" t="s">
        <v>11</v>
      </c>
      <c r="E87" s="8">
        <v>3074.63</v>
      </c>
      <c r="F87" s="5" t="s">
        <v>35</v>
      </c>
      <c r="G87" s="5" t="s">
        <v>34</v>
      </c>
      <c r="H87" s="9">
        <f t="shared" si="4"/>
        <v>9</v>
      </c>
      <c r="I87" s="5">
        <f t="shared" si="3"/>
        <v>3074.63</v>
      </c>
    </row>
    <row r="88" spans="1:9" x14ac:dyDescent="0.25">
      <c r="A88" s="3">
        <v>46285</v>
      </c>
      <c r="B88" s="4" t="s">
        <v>4</v>
      </c>
      <c r="C88" s="5" t="s">
        <v>18</v>
      </c>
      <c r="D88" s="5" t="s">
        <v>19</v>
      </c>
      <c r="E88" s="8">
        <v>2983.01</v>
      </c>
      <c r="F88" s="5" t="s">
        <v>36</v>
      </c>
      <c r="G88" s="5" t="s">
        <v>34</v>
      </c>
      <c r="H88" s="9">
        <f t="shared" si="4"/>
        <v>9</v>
      </c>
      <c r="I88" s="5">
        <f t="shared" si="3"/>
        <v>2983.01</v>
      </c>
    </row>
    <row r="89" spans="1:9" x14ac:dyDescent="0.25">
      <c r="A89" s="3">
        <v>46288</v>
      </c>
      <c r="B89" s="4" t="s">
        <v>4</v>
      </c>
      <c r="C89" s="5" t="s">
        <v>18</v>
      </c>
      <c r="D89" s="5" t="s">
        <v>19</v>
      </c>
      <c r="E89" s="8">
        <v>2130.61</v>
      </c>
      <c r="F89" s="5" t="s">
        <v>35</v>
      </c>
      <c r="G89" s="5" t="s">
        <v>33</v>
      </c>
      <c r="H89" s="9">
        <f t="shared" si="4"/>
        <v>9</v>
      </c>
      <c r="I89" s="5">
        <f t="shared" si="3"/>
        <v>2130.61</v>
      </c>
    </row>
    <row r="90" spans="1:9" x14ac:dyDescent="0.25">
      <c r="A90" s="3">
        <v>46291</v>
      </c>
      <c r="B90" s="4" t="s">
        <v>4</v>
      </c>
      <c r="C90" s="5" t="s">
        <v>10</v>
      </c>
      <c r="D90" s="5" t="s">
        <v>11</v>
      </c>
      <c r="E90" s="8">
        <v>2914.75</v>
      </c>
      <c r="F90" s="5" t="s">
        <v>40</v>
      </c>
      <c r="G90" s="5" t="s">
        <v>34</v>
      </c>
      <c r="H90" s="9">
        <f t="shared" si="4"/>
        <v>9</v>
      </c>
      <c r="I90" s="5">
        <f t="shared" si="3"/>
        <v>2914.75</v>
      </c>
    </row>
    <row r="91" spans="1:9" x14ac:dyDescent="0.25">
      <c r="A91" s="3">
        <v>46294</v>
      </c>
      <c r="B91" s="4" t="s">
        <v>7</v>
      </c>
      <c r="C91" s="5" t="s">
        <v>8</v>
      </c>
      <c r="D91" s="5" t="s">
        <v>9</v>
      </c>
      <c r="E91" s="8">
        <v>2247.65</v>
      </c>
      <c r="F91" s="5" t="s">
        <v>32</v>
      </c>
      <c r="G91" s="5" t="s">
        <v>33</v>
      </c>
      <c r="H91" s="9">
        <f t="shared" si="4"/>
        <v>9</v>
      </c>
      <c r="I91" s="5">
        <f t="shared" si="3"/>
        <v>-2247.65</v>
      </c>
    </row>
    <row r="92" spans="1:9" x14ac:dyDescent="0.25">
      <c r="A92" s="3">
        <v>46297</v>
      </c>
      <c r="B92" s="4" t="s">
        <v>7</v>
      </c>
      <c r="C92" s="5" t="s">
        <v>26</v>
      </c>
      <c r="D92" s="5" t="s">
        <v>27</v>
      </c>
      <c r="E92" s="8">
        <v>2119.06</v>
      </c>
      <c r="F92" s="5" t="s">
        <v>32</v>
      </c>
      <c r="G92" s="5" t="s">
        <v>34</v>
      </c>
      <c r="H92" s="9">
        <f t="shared" si="4"/>
        <v>10</v>
      </c>
      <c r="I92" s="5">
        <f t="shared" si="3"/>
        <v>-2119.06</v>
      </c>
    </row>
    <row r="93" spans="1:9" x14ac:dyDescent="0.25">
      <c r="A93" s="3">
        <v>46300</v>
      </c>
      <c r="B93" s="4" t="s">
        <v>7</v>
      </c>
      <c r="C93" s="5" t="s">
        <v>16</v>
      </c>
      <c r="D93" s="5" t="s">
        <v>17</v>
      </c>
      <c r="E93" s="8">
        <v>2781.66</v>
      </c>
      <c r="F93" s="5" t="s">
        <v>37</v>
      </c>
      <c r="G93" s="5" t="s">
        <v>34</v>
      </c>
      <c r="H93" s="9">
        <f t="shared" si="4"/>
        <v>10</v>
      </c>
      <c r="I93" s="5">
        <f t="shared" si="3"/>
        <v>-2781.66</v>
      </c>
    </row>
    <row r="94" spans="1:9" x14ac:dyDescent="0.25">
      <c r="A94" s="3">
        <v>46303</v>
      </c>
      <c r="B94" s="4" t="s">
        <v>7</v>
      </c>
      <c r="C94" s="5" t="s">
        <v>26</v>
      </c>
      <c r="D94" s="5" t="s">
        <v>27</v>
      </c>
      <c r="E94" s="8">
        <v>403.28</v>
      </c>
      <c r="F94" s="5" t="s">
        <v>37</v>
      </c>
      <c r="G94" s="5" t="s">
        <v>34</v>
      </c>
      <c r="H94" s="9">
        <f t="shared" si="4"/>
        <v>10</v>
      </c>
      <c r="I94" s="5">
        <f t="shared" si="3"/>
        <v>-403.28</v>
      </c>
    </row>
    <row r="95" spans="1:9" x14ac:dyDescent="0.25">
      <c r="A95" s="3">
        <v>46306</v>
      </c>
      <c r="B95" s="4" t="s">
        <v>7</v>
      </c>
      <c r="C95" s="5" t="s">
        <v>20</v>
      </c>
      <c r="D95" s="5" t="s">
        <v>21</v>
      </c>
      <c r="E95" s="8">
        <v>349.36</v>
      </c>
      <c r="F95" s="5" t="s">
        <v>38</v>
      </c>
      <c r="G95" s="5" t="s">
        <v>34</v>
      </c>
      <c r="H95" s="9">
        <f t="shared" si="4"/>
        <v>10</v>
      </c>
      <c r="I95" s="5">
        <f t="shared" si="3"/>
        <v>-349.36</v>
      </c>
    </row>
    <row r="96" spans="1:9" x14ac:dyDescent="0.25">
      <c r="A96" s="3">
        <v>46309</v>
      </c>
      <c r="B96" s="4" t="s">
        <v>4</v>
      </c>
      <c r="C96" s="5" t="s">
        <v>18</v>
      </c>
      <c r="D96" s="5" t="s">
        <v>19</v>
      </c>
      <c r="E96" s="8">
        <v>1705.72</v>
      </c>
      <c r="F96" s="5" t="s">
        <v>40</v>
      </c>
      <c r="G96" s="5" t="s">
        <v>34</v>
      </c>
      <c r="H96" s="9">
        <f t="shared" si="4"/>
        <v>10</v>
      </c>
      <c r="I96" s="5">
        <f t="shared" si="3"/>
        <v>1705.72</v>
      </c>
    </row>
    <row r="97" spans="1:9" x14ac:dyDescent="0.25">
      <c r="A97" s="3">
        <v>46312</v>
      </c>
      <c r="B97" s="4" t="s">
        <v>4</v>
      </c>
      <c r="C97" s="5" t="s">
        <v>10</v>
      </c>
      <c r="D97" s="5" t="s">
        <v>11</v>
      </c>
      <c r="E97" s="8">
        <v>3176.07</v>
      </c>
      <c r="F97" s="5" t="s">
        <v>38</v>
      </c>
      <c r="G97" s="5" t="s">
        <v>41</v>
      </c>
      <c r="H97" s="9">
        <f t="shared" si="4"/>
        <v>10</v>
      </c>
      <c r="I97" s="5">
        <f t="shared" si="3"/>
        <v>3176.07</v>
      </c>
    </row>
    <row r="98" spans="1:9" x14ac:dyDescent="0.25">
      <c r="A98" s="3">
        <v>46315</v>
      </c>
      <c r="B98" s="4" t="s">
        <v>4</v>
      </c>
      <c r="C98" s="5" t="s">
        <v>18</v>
      </c>
      <c r="D98" s="5" t="s">
        <v>19</v>
      </c>
      <c r="E98" s="8">
        <v>4909.8100000000004</v>
      </c>
      <c r="F98" s="5" t="s">
        <v>37</v>
      </c>
      <c r="G98" s="5" t="s">
        <v>41</v>
      </c>
      <c r="H98" s="9">
        <f t="shared" si="4"/>
        <v>10</v>
      </c>
      <c r="I98" s="5">
        <f t="shared" si="3"/>
        <v>4909.8100000000004</v>
      </c>
    </row>
    <row r="99" spans="1:9" x14ac:dyDescent="0.25">
      <c r="A99" s="3">
        <v>46318</v>
      </c>
      <c r="B99" s="4" t="s">
        <v>4</v>
      </c>
      <c r="C99" s="5" t="s">
        <v>5</v>
      </c>
      <c r="D99" s="5" t="s">
        <v>6</v>
      </c>
      <c r="E99" s="8">
        <v>1556.51</v>
      </c>
      <c r="F99" s="5" t="s">
        <v>40</v>
      </c>
      <c r="G99" s="5" t="s">
        <v>34</v>
      </c>
      <c r="H99" s="9">
        <f t="shared" si="4"/>
        <v>10</v>
      </c>
      <c r="I99" s="5">
        <f t="shared" si="3"/>
        <v>1556.51</v>
      </c>
    </row>
    <row r="100" spans="1:9" x14ac:dyDescent="0.25">
      <c r="A100" s="3">
        <v>46321</v>
      </c>
      <c r="B100" s="4" t="s">
        <v>7</v>
      </c>
      <c r="C100" s="5" t="s">
        <v>24</v>
      </c>
      <c r="D100" s="5" t="s">
        <v>25</v>
      </c>
      <c r="E100" s="8">
        <v>2438.33</v>
      </c>
      <c r="F100" s="5" t="s">
        <v>35</v>
      </c>
      <c r="G100" s="5" t="s">
        <v>34</v>
      </c>
      <c r="H100" s="9">
        <f t="shared" si="4"/>
        <v>10</v>
      </c>
      <c r="I100" s="5">
        <f t="shared" si="3"/>
        <v>-2438.33</v>
      </c>
    </row>
    <row r="101" spans="1:9" x14ac:dyDescent="0.25">
      <c r="A101" s="3">
        <v>46324</v>
      </c>
      <c r="B101" s="4" t="s">
        <v>7</v>
      </c>
      <c r="C101" s="5" t="s">
        <v>26</v>
      </c>
      <c r="D101" s="5" t="s">
        <v>27</v>
      </c>
      <c r="E101" s="8">
        <v>1029.08</v>
      </c>
      <c r="F101" s="5" t="s">
        <v>35</v>
      </c>
      <c r="G101" s="5" t="s">
        <v>41</v>
      </c>
      <c r="H101" s="9">
        <f t="shared" si="4"/>
        <v>10</v>
      </c>
      <c r="I101" s="5">
        <f t="shared" si="3"/>
        <v>-1029.08</v>
      </c>
    </row>
  </sheetData>
  <pageMargins left="0.511811024" right="0.511811024" top="0.78740157499999996" bottom="0.78740157499999996" header="0.31496062000000002" footer="0.31496062000000002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30"/>
  <sheetViews>
    <sheetView zoomScale="68" zoomScaleNormal="68" workbookViewId="0">
      <selection activeCell="I24" sqref="I24"/>
    </sheetView>
  </sheetViews>
  <sheetFormatPr defaultRowHeight="15" x14ac:dyDescent="0.25"/>
  <cols>
    <col min="1" max="1" width="20.42578125" customWidth="1"/>
    <col min="2" max="2" width="19.5703125" customWidth="1"/>
    <col min="3" max="3" width="24.7109375" customWidth="1"/>
    <col min="4" max="4" width="26.5703125" customWidth="1"/>
    <col min="5" max="5" width="11.42578125" customWidth="1"/>
    <col min="6" max="6" width="15" customWidth="1"/>
    <col min="7" max="7" width="18" customWidth="1"/>
    <col min="8" max="8" width="24.7109375" customWidth="1"/>
    <col min="9" max="9" width="24.5703125" customWidth="1"/>
    <col min="10" max="10" width="26.5703125" customWidth="1"/>
    <col min="11" max="12" width="20.28515625" customWidth="1"/>
    <col min="13" max="17" width="12.140625" customWidth="1"/>
    <col min="18" max="18" width="23" customWidth="1"/>
  </cols>
  <sheetData>
    <row r="3" spans="1:14" x14ac:dyDescent="0.25">
      <c r="A3" s="11" t="s">
        <v>46</v>
      </c>
      <c r="B3" s="11" t="s">
        <v>47</v>
      </c>
      <c r="I3" s="11" t="s">
        <v>46</v>
      </c>
      <c r="J3" s="11" t="s">
        <v>47</v>
      </c>
      <c r="N3" s="15">
        <f>L15</f>
        <v>84557.689999999988</v>
      </c>
    </row>
    <row r="4" spans="1:14" x14ac:dyDescent="0.25">
      <c r="A4" s="11" t="s">
        <v>42</v>
      </c>
      <c r="B4" t="s">
        <v>4</v>
      </c>
      <c r="C4" t="s">
        <v>7</v>
      </c>
      <c r="D4" t="s">
        <v>43</v>
      </c>
      <c r="F4" s="12"/>
      <c r="G4" s="13"/>
      <c r="I4" s="11" t="s">
        <v>42</v>
      </c>
      <c r="J4" t="s">
        <v>4</v>
      </c>
      <c r="K4" t="s">
        <v>7</v>
      </c>
      <c r="L4" t="s">
        <v>43</v>
      </c>
    </row>
    <row r="5" spans="1:14" x14ac:dyDescent="0.25">
      <c r="A5" s="12">
        <v>1</v>
      </c>
      <c r="B5" s="15">
        <v>15973.470000000001</v>
      </c>
      <c r="C5" s="15">
        <v>-8410.0499999999993</v>
      </c>
      <c r="D5" s="15">
        <v>7563.4200000000019</v>
      </c>
      <c r="F5" s="17"/>
      <c r="G5" s="13"/>
      <c r="I5" s="12">
        <v>1</v>
      </c>
      <c r="J5" s="15">
        <v>15973.470000000001</v>
      </c>
      <c r="K5" s="15">
        <v>-8410.0499999999993</v>
      </c>
      <c r="L5" s="15">
        <v>7563.4200000000019</v>
      </c>
    </row>
    <row r="6" spans="1:14" x14ac:dyDescent="0.25">
      <c r="A6" s="12">
        <v>2</v>
      </c>
      <c r="B6" s="15">
        <v>14573.71</v>
      </c>
      <c r="C6" s="15">
        <v>-4491.43</v>
      </c>
      <c r="D6" s="15">
        <v>10082.279999999999</v>
      </c>
      <c r="F6" s="17"/>
      <c r="G6" s="13"/>
      <c r="I6" s="12">
        <v>2</v>
      </c>
      <c r="J6" s="15">
        <v>14573.71</v>
      </c>
      <c r="K6" s="15">
        <v>-4491.43</v>
      </c>
      <c r="L6" s="15">
        <v>10082.279999999999</v>
      </c>
    </row>
    <row r="7" spans="1:14" x14ac:dyDescent="0.25">
      <c r="A7" s="12">
        <v>3</v>
      </c>
      <c r="B7" s="15">
        <v>19013.939999999999</v>
      </c>
      <c r="C7" s="15">
        <v>-2559.29</v>
      </c>
      <c r="D7" s="15">
        <v>16454.649999999998</v>
      </c>
      <c r="F7" s="17"/>
      <c r="G7" s="13"/>
      <c r="I7" s="12">
        <v>3</v>
      </c>
      <c r="J7" s="15">
        <v>19013.939999999999</v>
      </c>
      <c r="K7" s="15">
        <v>-2559.29</v>
      </c>
      <c r="L7" s="15">
        <v>16454.649999999998</v>
      </c>
    </row>
    <row r="8" spans="1:14" x14ac:dyDescent="0.25">
      <c r="A8" s="12">
        <v>4</v>
      </c>
      <c r="B8" s="15">
        <v>10918.900000000001</v>
      </c>
      <c r="C8" s="15">
        <v>-7251.67</v>
      </c>
      <c r="D8" s="15">
        <v>3667.2300000000014</v>
      </c>
      <c r="F8" s="17"/>
      <c r="G8" s="13"/>
      <c r="I8" s="12">
        <v>4</v>
      </c>
      <c r="J8" s="15">
        <v>10918.900000000001</v>
      </c>
      <c r="K8" s="15">
        <v>-7251.67</v>
      </c>
      <c r="L8" s="15">
        <v>3667.2300000000014</v>
      </c>
    </row>
    <row r="9" spans="1:14" x14ac:dyDescent="0.25">
      <c r="A9" s="12">
        <v>5</v>
      </c>
      <c r="B9" s="15">
        <v>9626.380000000001</v>
      </c>
      <c r="C9" s="15">
        <v>-10600.009999999998</v>
      </c>
      <c r="D9" s="15">
        <v>-973.62999999999738</v>
      </c>
      <c r="F9" s="17"/>
      <c r="G9" s="13"/>
      <c r="I9" s="12">
        <v>5</v>
      </c>
      <c r="J9" s="15">
        <v>9626.380000000001</v>
      </c>
      <c r="K9" s="15">
        <v>-10600.009999999998</v>
      </c>
      <c r="L9" s="15">
        <v>-973.62999999999738</v>
      </c>
    </row>
    <row r="10" spans="1:14" x14ac:dyDescent="0.25">
      <c r="A10" s="12">
        <v>6</v>
      </c>
      <c r="B10" s="15">
        <v>21912.739999999998</v>
      </c>
      <c r="C10" s="15">
        <v>-2082.91</v>
      </c>
      <c r="D10" s="15">
        <v>19829.829999999998</v>
      </c>
      <c r="F10" s="17"/>
      <c r="G10" s="13"/>
      <c r="I10" s="12">
        <v>6</v>
      </c>
      <c r="J10" s="15">
        <v>21912.739999999998</v>
      </c>
      <c r="K10" s="15">
        <v>-2082.91</v>
      </c>
      <c r="L10" s="15">
        <v>19829.829999999998</v>
      </c>
    </row>
    <row r="11" spans="1:14" x14ac:dyDescent="0.25">
      <c r="A11" s="12">
        <v>7</v>
      </c>
      <c r="B11" s="15">
        <v>17646.46</v>
      </c>
      <c r="C11" s="15">
        <v>-8370.5</v>
      </c>
      <c r="D11" s="15">
        <v>9275.9599999999991</v>
      </c>
      <c r="F11" s="17"/>
      <c r="G11" s="13"/>
      <c r="I11" s="12">
        <v>7</v>
      </c>
      <c r="J11" s="15">
        <v>17646.46</v>
      </c>
      <c r="K11" s="15">
        <v>-8370.5</v>
      </c>
      <c r="L11" s="15">
        <v>9275.9599999999991</v>
      </c>
    </row>
    <row r="12" spans="1:14" x14ac:dyDescent="0.25">
      <c r="A12" s="12">
        <v>8</v>
      </c>
      <c r="B12" s="15">
        <v>13335.97</v>
      </c>
      <c r="C12" s="15">
        <v>-6377.0599999999995</v>
      </c>
      <c r="D12" s="15">
        <v>6958.91</v>
      </c>
      <c r="F12" s="12"/>
      <c r="G12" s="13"/>
      <c r="I12" s="12">
        <v>8</v>
      </c>
      <c r="J12" s="15">
        <v>13335.97</v>
      </c>
      <c r="K12" s="15">
        <v>-6377.0599999999995</v>
      </c>
      <c r="L12" s="15">
        <v>6958.91</v>
      </c>
    </row>
    <row r="13" spans="1:14" x14ac:dyDescent="0.25">
      <c r="A13" s="12">
        <v>9</v>
      </c>
      <c r="B13" s="15">
        <v>17200.010000000002</v>
      </c>
      <c r="C13" s="15">
        <v>-7728.3099999999995</v>
      </c>
      <c r="D13" s="15">
        <v>9471.7000000000025</v>
      </c>
      <c r="I13" s="12">
        <v>9</v>
      </c>
      <c r="J13" s="15">
        <v>17200.010000000002</v>
      </c>
      <c r="K13" s="15">
        <v>-7728.3099999999995</v>
      </c>
      <c r="L13" s="15">
        <v>9471.7000000000025</v>
      </c>
    </row>
    <row r="14" spans="1:14" x14ac:dyDescent="0.25">
      <c r="A14" s="12">
        <v>10</v>
      </c>
      <c r="B14" s="15">
        <v>11348.11</v>
      </c>
      <c r="C14" s="15">
        <v>-9120.7699999999986</v>
      </c>
      <c r="D14" s="15">
        <v>2227.340000000002</v>
      </c>
      <c r="I14" s="12">
        <v>10</v>
      </c>
      <c r="J14" s="15">
        <v>11348.11</v>
      </c>
      <c r="K14" s="15">
        <v>-9120.7699999999986</v>
      </c>
      <c r="L14" s="15">
        <v>2227.340000000002</v>
      </c>
    </row>
    <row r="15" spans="1:14" x14ac:dyDescent="0.25">
      <c r="A15" s="12" t="s">
        <v>43</v>
      </c>
      <c r="B15" s="15">
        <v>151549.69</v>
      </c>
      <c r="C15" s="15">
        <v>-66992</v>
      </c>
      <c r="D15" s="15">
        <v>84557.689999999988</v>
      </c>
      <c r="I15" s="12" t="s">
        <v>43</v>
      </c>
      <c r="J15" s="15">
        <v>151549.69</v>
      </c>
      <c r="K15" s="15">
        <v>-66992</v>
      </c>
      <c r="L15" s="15">
        <v>84557.689999999988</v>
      </c>
    </row>
    <row r="17" spans="3:12" x14ac:dyDescent="0.25">
      <c r="J17" s="15">
        <f>J6</f>
        <v>14573.71</v>
      </c>
      <c r="K17" s="15">
        <f t="shared" ref="K17:L17" si="0">K6</f>
        <v>-4491.43</v>
      </c>
      <c r="L17" s="15">
        <f t="shared" si="0"/>
        <v>10082.279999999999</v>
      </c>
    </row>
    <row r="18" spans="3:12" x14ac:dyDescent="0.25">
      <c r="H18" s="11" t="s">
        <v>1</v>
      </c>
      <c r="I18" t="s">
        <v>7</v>
      </c>
    </row>
    <row r="19" spans="3:12" x14ac:dyDescent="0.25">
      <c r="J19" s="15"/>
    </row>
    <row r="20" spans="3:12" x14ac:dyDescent="0.25">
      <c r="C20" s="11" t="s">
        <v>44</v>
      </c>
      <c r="D20" s="11" t="s">
        <v>47</v>
      </c>
      <c r="H20" s="11" t="s">
        <v>42</v>
      </c>
      <c r="I20" t="s">
        <v>44</v>
      </c>
    </row>
    <row r="21" spans="3:12" x14ac:dyDescent="0.25">
      <c r="C21" s="11" t="s">
        <v>42</v>
      </c>
      <c r="D21" t="s">
        <v>4</v>
      </c>
      <c r="E21" t="s">
        <v>7</v>
      </c>
      <c r="F21" t="s">
        <v>43</v>
      </c>
      <c r="H21" s="12" t="s">
        <v>26</v>
      </c>
      <c r="I21" s="13">
        <v>6971.2800000000007</v>
      </c>
    </row>
    <row r="22" spans="3:12" x14ac:dyDescent="0.25">
      <c r="C22" s="12" t="s">
        <v>39</v>
      </c>
      <c r="D22" s="13">
        <v>24068.749999999996</v>
      </c>
      <c r="E22" s="13">
        <v>6939.1399999999994</v>
      </c>
      <c r="F22" s="13">
        <v>31007.889999999996</v>
      </c>
      <c r="H22" s="12" t="s">
        <v>22</v>
      </c>
      <c r="I22" s="13">
        <v>3747.38</v>
      </c>
    </row>
    <row r="23" spans="3:12" x14ac:dyDescent="0.25">
      <c r="C23" s="12" t="s">
        <v>40</v>
      </c>
      <c r="D23" s="13">
        <v>16290.529999999999</v>
      </c>
      <c r="E23" s="13">
        <v>2857.73</v>
      </c>
      <c r="F23" s="13">
        <v>19148.259999999998</v>
      </c>
      <c r="H23" s="12" t="s">
        <v>8</v>
      </c>
      <c r="I23" s="13">
        <v>21305.51</v>
      </c>
    </row>
    <row r="24" spans="3:12" x14ac:dyDescent="0.25">
      <c r="C24" s="12" t="s">
        <v>32</v>
      </c>
      <c r="D24" s="13">
        <v>20861.25</v>
      </c>
      <c r="E24" s="13">
        <v>17682.39</v>
      </c>
      <c r="F24" s="13">
        <v>38543.64</v>
      </c>
      <c r="H24" s="12" t="s">
        <v>12</v>
      </c>
      <c r="I24" s="13">
        <v>9254.91</v>
      </c>
    </row>
    <row r="25" spans="3:12" x14ac:dyDescent="0.25">
      <c r="C25" s="12" t="s">
        <v>35</v>
      </c>
      <c r="D25" s="13">
        <v>24506.1</v>
      </c>
      <c r="E25" s="13">
        <v>11517.26</v>
      </c>
      <c r="F25" s="13">
        <v>36023.360000000001</v>
      </c>
      <c r="H25" s="12" t="s">
        <v>20</v>
      </c>
      <c r="I25" s="13">
        <v>4276.2299999999996</v>
      </c>
    </row>
    <row r="26" spans="3:12" x14ac:dyDescent="0.25">
      <c r="C26" s="12" t="s">
        <v>37</v>
      </c>
      <c r="D26" s="13">
        <v>25123.05</v>
      </c>
      <c r="E26" s="13">
        <v>15306.289999999999</v>
      </c>
      <c r="F26" s="13">
        <v>40429.339999999997</v>
      </c>
      <c r="H26" s="12" t="s">
        <v>16</v>
      </c>
      <c r="I26" s="13">
        <v>14146.590000000002</v>
      </c>
    </row>
    <row r="27" spans="3:12" x14ac:dyDescent="0.25">
      <c r="C27" s="12" t="s">
        <v>38</v>
      </c>
      <c r="D27" s="13">
        <v>10012.14</v>
      </c>
      <c r="E27" s="13">
        <v>8395.06</v>
      </c>
      <c r="F27" s="13">
        <v>18407.199999999997</v>
      </c>
      <c r="H27" s="12" t="s">
        <v>24</v>
      </c>
      <c r="I27" s="13">
        <v>7290.1</v>
      </c>
    </row>
    <row r="28" spans="3:12" x14ac:dyDescent="0.25">
      <c r="C28" s="12" t="s">
        <v>36</v>
      </c>
      <c r="D28" s="13">
        <v>27993.660000000003</v>
      </c>
      <c r="E28" s="13">
        <v>4294.1299999999992</v>
      </c>
      <c r="F28" s="13">
        <v>32287.79</v>
      </c>
      <c r="H28" s="12" t="s">
        <v>43</v>
      </c>
      <c r="I28" s="13">
        <v>66992</v>
      </c>
    </row>
    <row r="29" spans="3:12" x14ac:dyDescent="0.25">
      <c r="C29" s="12" t="s">
        <v>48</v>
      </c>
      <c r="D29" s="13">
        <v>2694.21</v>
      </c>
      <c r="E29" s="13"/>
      <c r="F29" s="13">
        <v>2694.21</v>
      </c>
    </row>
    <row r="30" spans="3:12" x14ac:dyDescent="0.25">
      <c r="C30" s="12" t="s">
        <v>43</v>
      </c>
      <c r="D30" s="13">
        <v>151549.69</v>
      </c>
      <c r="E30" s="13">
        <v>66992</v>
      </c>
      <c r="F30" s="13">
        <v>218541.69</v>
      </c>
    </row>
  </sheetData>
  <pageMargins left="0.511811024" right="0.511811024" top="0.78740157499999996" bottom="0.78740157499999996" header="0.31496062000000002" footer="0.31496062000000002"/>
  <pageSetup paperSize="9"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B1:AB27"/>
  <sheetViews>
    <sheetView showGridLines="0" tabSelected="1" zoomScale="69" zoomScaleNormal="69" workbookViewId="0">
      <selection activeCell="M1" sqref="M1"/>
    </sheetView>
  </sheetViews>
  <sheetFormatPr defaultRowHeight="15" x14ac:dyDescent="0.25"/>
  <cols>
    <col min="1" max="1" width="14.7109375" customWidth="1"/>
    <col min="2" max="2" width="33" customWidth="1"/>
  </cols>
  <sheetData>
    <row r="1" ht="61.5" customHeight="1" x14ac:dyDescent="0.25"/>
    <row r="27" spans="28:28" x14ac:dyDescent="0.25">
      <c r="AB27" s="16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</vt:lpstr>
      <vt:lpstr>tabelas</vt:lpstr>
      <vt:lpstr>dashboard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Computador</dc:creator>
  <cp:lastModifiedBy>Computador</cp:lastModifiedBy>
  <dcterms:created xsi:type="dcterms:W3CDTF">2026-10-26T12:58:51Z</dcterms:created>
  <dcterms:modified xsi:type="dcterms:W3CDTF">2026-10-26T21:01:32Z</dcterms:modified>
</cp:coreProperties>
</file>